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Output/manuscript_test_01_26/"/>
    </mc:Choice>
  </mc:AlternateContent>
  <xr:revisionPtr revIDLastSave="0" documentId="13_ncr:1_{CE70F938-8839-764C-BF2A-D85DE0C788AF}" xr6:coauthVersionLast="47" xr6:coauthVersionMax="47" xr10:uidLastSave="{00000000-0000-0000-0000-000000000000}"/>
  <bookViews>
    <workbookView xWindow="14400" yWindow="620" windowWidth="14420" windowHeight="16300" xr2:uid="{9C8D06F1-DA44-ED4A-BCBC-7F539BBC36D8}"/>
  </bookViews>
  <sheets>
    <sheet name="now obj 1_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G13" i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  <c r="G3" i="1"/>
  <c r="F3" i="1"/>
  <c r="E3" i="1"/>
  <c r="D3" i="1"/>
  <c r="C3" i="1"/>
  <c r="B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G2" i="1"/>
  <c r="I2" i="1" s="1"/>
  <c r="F2" i="1"/>
  <c r="E2" i="1"/>
  <c r="D2" i="1"/>
  <c r="C2" i="1"/>
  <c r="B2" i="1"/>
  <c r="I11" i="1" l="1"/>
  <c r="I12" i="1"/>
  <c r="I7" i="1"/>
  <c r="I3" i="1"/>
  <c r="I13" i="1"/>
  <c r="I10" i="1"/>
  <c r="I9" i="1"/>
  <c r="I4" i="1"/>
  <c r="I8" i="1"/>
  <c r="I6" i="1"/>
  <c r="I5" i="1"/>
</calcChain>
</file>

<file path=xl/sharedStrings.xml><?xml version="1.0" encoding="utf-8"?>
<sst xmlns="http://schemas.openxmlformats.org/spreadsheetml/2006/main" count="18" uniqueCount="17">
  <si>
    <t>year</t>
  </si>
  <si>
    <t>Perfect foresight FRI</t>
  </si>
  <si>
    <t>Min adaptive FRI</t>
  </si>
  <si>
    <t>Median adaptive FRI</t>
  </si>
  <si>
    <t>Max adaptive FRI</t>
  </si>
  <si>
    <t>Water year percentile</t>
  </si>
  <si>
    <t>range_diff</t>
  </si>
  <si>
    <t>Perfect foresight FFRI</t>
  </si>
  <si>
    <t>Feb</t>
  </si>
  <si>
    <t>Mar</t>
  </si>
  <si>
    <t>Apr</t>
  </si>
  <si>
    <t>May</t>
  </si>
  <si>
    <t>July</t>
  </si>
  <si>
    <t xml:space="preserve">idk why these are different, </t>
  </si>
  <si>
    <t>pf_0ld</t>
  </si>
  <si>
    <t>pf_new</t>
  </si>
  <si>
    <t>fixed 3/1/26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</si>
</sst>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2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1" fontId="0" fillId="0" borderId="0" xfId="0" applyNumberFormat="1"/>
    <xf numFmtId="2" fontId="2" fillId="0" borderId="4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1" fillId="0" borderId="0" xfId="0" applyFont="1"/>
    <xf numFmtId="2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0" borderId="3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'now obj 1_26'!$B$1</c:f>
              <c:strCache>
                <c:ptCount val="1"/>
                <c:pt idx="0">
                  <c:v>Perfect foresight FRI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'now obj 1_26'!$A$2:$A$13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cat>
          <c:val>
            <c:numRef>
              <c:f>'now obj 1_26'!$B$2:$B$13</c:f>
              <c:numCache>
                <c:formatCode>0</c:formatCode>
                <c:ptCount val="12"/>
                <c:pt idx="0">
                  <c:v>90</c:v>
                </c:pt>
                <c:pt idx="1">
                  <c:v>29.14</c:v>
                </c:pt>
                <c:pt idx="2">
                  <c:v>29.475999999999999</c:v>
                </c:pt>
                <c:pt idx="3">
                  <c:v>20.02</c:v>
                </c:pt>
                <c:pt idx="4">
                  <c:v>15.48</c:v>
                </c:pt>
                <c:pt idx="5">
                  <c:v>60.16</c:v>
                </c:pt>
                <c:pt idx="6">
                  <c:v>90</c:v>
                </c:pt>
                <c:pt idx="7">
                  <c:v>55.8</c:v>
                </c:pt>
                <c:pt idx="8">
                  <c:v>90</c:v>
                </c:pt>
                <c:pt idx="9">
                  <c:v>31.606000000000002</c:v>
                </c:pt>
                <c:pt idx="10">
                  <c:v>19.399999999999999</c:v>
                </c:pt>
                <c:pt idx="11">
                  <c:v>31.289000000000001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2-664A-B76F-5DA831CFA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8101232"/>
        <c:axId val="758105936"/>
      </c:lineChart>
      <c:lineChart>
        <c:grouping val="standard"/>
        <c:varyColors val="0"/>
        <c:ser>
          <c:idx val="1"/>
          <c:order val="1"/>
          <c:tx>
            <c:strRef>
              <c:f>'now obj 1_26'!$H$1</c:f>
              <c:strCache>
                <c:ptCount val="1"/>
                <c:pt idx="0">
                  <c:v>Water year percentile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'now obj 1_26'!$A$2:$A$13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cat>
          <c:val>
            <c:numRef>
              <c:f>'now obj 1_26'!$H$2:$H$13</c:f>
              <c:numCache>
                <c:formatCode>0.00</c:formatCode>
                <c:ptCount val="12"/>
                <c:pt idx="0">
                  <c:v>0.93</c:v>
                </c:pt>
                <c:pt idx="1">
                  <c:v>0.26</c:v>
                </c:pt>
                <c:pt idx="2">
                  <c:v>0.23</c:v>
                </c:pt>
                <c:pt idx="3">
                  <c:v>0.1</c:v>
                </c:pt>
                <c:pt idx="4">
                  <c:v>0.03</c:v>
                </c:pt>
                <c:pt idx="5">
                  <c:v>0.55000000000000004</c:v>
                </c:pt>
                <c:pt idx="6">
                  <c:v>0.97</c:v>
                </c:pt>
                <c:pt idx="7">
                  <c:v>0.45</c:v>
                </c:pt>
                <c:pt idx="8">
                  <c:v>0.77</c:v>
                </c:pt>
                <c:pt idx="9">
                  <c:v>0.28999999999999998</c:v>
                </c:pt>
                <c:pt idx="10">
                  <c:v>0.06</c:v>
                </c:pt>
                <c:pt idx="1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E2-664A-B76F-5DA831CFA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392928"/>
        <c:axId val="2038895136"/>
      </c:lineChart>
      <c:catAx>
        <c:axId val="75810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105936"/>
        <c:crosses val="autoZero"/>
        <c:auto val="1"/>
        <c:lblAlgn val="ctr"/>
        <c:lblOffset val="100"/>
        <c:noMultiLvlLbl val="0"/>
      </c:catAx>
      <c:valAx>
        <c:axId val="75810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101232"/>
        <c:crosses val="autoZero"/>
        <c:crossBetween val="between"/>
      </c:valAx>
      <c:valAx>
        <c:axId val="2038895136"/>
        <c:scaling>
          <c:orientation val="minMax"/>
          <c:max val="1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392928"/>
        <c:crosses val="max"/>
        <c:crossBetween val="between"/>
      </c:valAx>
      <c:catAx>
        <c:axId val="2039392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38895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1"/>
          <c:tx>
            <c:strRef>
              <c:f>'now obj 1_26'!$B$1</c:f>
              <c:strCache>
                <c:ptCount val="1"/>
                <c:pt idx="0">
                  <c:v>Perfect foresight FRI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'now obj 1_26'!$A$2:$A$13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cat>
          <c:val>
            <c:numRef>
              <c:f>'now obj 1_26'!$B$2:$B$13</c:f>
              <c:numCache>
                <c:formatCode>0</c:formatCode>
                <c:ptCount val="12"/>
                <c:pt idx="0">
                  <c:v>90</c:v>
                </c:pt>
                <c:pt idx="1">
                  <c:v>29.14</c:v>
                </c:pt>
                <c:pt idx="2">
                  <c:v>29.475999999999999</c:v>
                </c:pt>
                <c:pt idx="3">
                  <c:v>20.02</c:v>
                </c:pt>
                <c:pt idx="4">
                  <c:v>15.48</c:v>
                </c:pt>
                <c:pt idx="5">
                  <c:v>60.16</c:v>
                </c:pt>
                <c:pt idx="6">
                  <c:v>90</c:v>
                </c:pt>
                <c:pt idx="7">
                  <c:v>55.8</c:v>
                </c:pt>
                <c:pt idx="8">
                  <c:v>90</c:v>
                </c:pt>
                <c:pt idx="9">
                  <c:v>31.606000000000002</c:v>
                </c:pt>
                <c:pt idx="10">
                  <c:v>19.399999999999999</c:v>
                </c:pt>
                <c:pt idx="11">
                  <c:v>31.289000000000001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41-B847-8601-4331B86616B3}"/>
            </c:ext>
          </c:extLst>
        </c:ser>
        <c:ser>
          <c:idx val="2"/>
          <c:order val="2"/>
          <c:tx>
            <c:strRef>
              <c:f>'now obj 1_26'!$C$1</c:f>
              <c:strCache>
                <c:ptCount val="1"/>
                <c:pt idx="0">
                  <c:v>Min adaptive FRI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cat>
            <c:numRef>
              <c:f>'now obj 1_26'!$A$2:$A$13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cat>
          <c:val>
            <c:numRef>
              <c:f>'now obj 1_26'!$C$2:$C$13</c:f>
              <c:numCache>
                <c:formatCode>0</c:formatCode>
                <c:ptCount val="12"/>
                <c:pt idx="0">
                  <c:v>68.05</c:v>
                </c:pt>
                <c:pt idx="1">
                  <c:v>10</c:v>
                </c:pt>
                <c:pt idx="2">
                  <c:v>15.38</c:v>
                </c:pt>
                <c:pt idx="3">
                  <c:v>10</c:v>
                </c:pt>
                <c:pt idx="4">
                  <c:v>10</c:v>
                </c:pt>
                <c:pt idx="5">
                  <c:v>42.298000000000002</c:v>
                </c:pt>
                <c:pt idx="6">
                  <c:v>63.54</c:v>
                </c:pt>
                <c:pt idx="7">
                  <c:v>26.163668817846698</c:v>
                </c:pt>
                <c:pt idx="8">
                  <c:v>54.609000000000002</c:v>
                </c:pt>
                <c:pt idx="9">
                  <c:v>10</c:v>
                </c:pt>
                <c:pt idx="10">
                  <c:v>10.36</c:v>
                </c:pt>
                <c:pt idx="1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441-B847-8601-4331B86616B3}"/>
            </c:ext>
          </c:extLst>
        </c:ser>
        <c:ser>
          <c:idx val="3"/>
          <c:order val="3"/>
          <c:tx>
            <c:strRef>
              <c:f>'now obj 1_26'!$G$1</c:f>
              <c:strCache>
                <c:ptCount val="1"/>
                <c:pt idx="0">
                  <c:v>Max adaptive FRI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'now obj 1_26'!$A$2:$A$13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cat>
          <c:val>
            <c:numRef>
              <c:f>'now obj 1_26'!$G$2:$G$13</c:f>
              <c:numCache>
                <c:formatCode>0</c:formatCode>
                <c:ptCount val="12"/>
                <c:pt idx="0">
                  <c:v>90</c:v>
                </c:pt>
                <c:pt idx="1">
                  <c:v>35.508000000000003</c:v>
                </c:pt>
                <c:pt idx="2">
                  <c:v>49.09</c:v>
                </c:pt>
                <c:pt idx="3">
                  <c:v>40.03</c:v>
                </c:pt>
                <c:pt idx="4">
                  <c:v>36.15</c:v>
                </c:pt>
                <c:pt idx="5">
                  <c:v>65.828999999999994</c:v>
                </c:pt>
                <c:pt idx="6">
                  <c:v>90</c:v>
                </c:pt>
                <c:pt idx="7">
                  <c:v>86.332999999999998</c:v>
                </c:pt>
                <c:pt idx="8">
                  <c:v>90</c:v>
                </c:pt>
                <c:pt idx="9">
                  <c:v>59.192</c:v>
                </c:pt>
                <c:pt idx="10">
                  <c:v>45.752000000000002</c:v>
                </c:pt>
                <c:pt idx="11">
                  <c:v>52.15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441-B847-8601-4331B8661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8101232"/>
        <c:axId val="758105936"/>
      </c:lineChart>
      <c:lineChart>
        <c:grouping val="standard"/>
        <c:varyColors val="0"/>
        <c:ser>
          <c:idx val="1"/>
          <c:order val="0"/>
          <c:tx>
            <c:strRef>
              <c:f>'now obj 1_26'!$H$1</c:f>
              <c:strCache>
                <c:ptCount val="1"/>
                <c:pt idx="0">
                  <c:v>Water year percentile</c:v>
                </c:pt>
              </c:strCache>
            </c:strRef>
          </c:tx>
          <c:spPr>
            <a:ln w="19050" cap="rnd">
              <a:noFill/>
              <a:prstDash val="sysDash"/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'now obj 1_26'!$A$2:$A$13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cat>
          <c:val>
            <c:numRef>
              <c:f>'now obj 1_26'!$H$2:$H$13</c:f>
              <c:numCache>
                <c:formatCode>0.00</c:formatCode>
                <c:ptCount val="12"/>
                <c:pt idx="0">
                  <c:v>0.93</c:v>
                </c:pt>
                <c:pt idx="1">
                  <c:v>0.26</c:v>
                </c:pt>
                <c:pt idx="2">
                  <c:v>0.23</c:v>
                </c:pt>
                <c:pt idx="3">
                  <c:v>0.1</c:v>
                </c:pt>
                <c:pt idx="4">
                  <c:v>0.03</c:v>
                </c:pt>
                <c:pt idx="5">
                  <c:v>0.55000000000000004</c:v>
                </c:pt>
                <c:pt idx="6">
                  <c:v>0.97</c:v>
                </c:pt>
                <c:pt idx="7">
                  <c:v>0.45</c:v>
                </c:pt>
                <c:pt idx="8">
                  <c:v>0.77</c:v>
                </c:pt>
                <c:pt idx="9">
                  <c:v>0.28999999999999998</c:v>
                </c:pt>
                <c:pt idx="10">
                  <c:v>0.06</c:v>
                </c:pt>
                <c:pt idx="1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41-B847-8601-4331B8661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392928"/>
        <c:axId val="2038895136"/>
      </c:lineChart>
      <c:catAx>
        <c:axId val="75810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105936"/>
        <c:crosses val="autoZero"/>
        <c:auto val="1"/>
        <c:lblAlgn val="ctr"/>
        <c:lblOffset val="100"/>
        <c:noMultiLvlLbl val="0"/>
      </c:catAx>
      <c:valAx>
        <c:axId val="75810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Regime Index (FRI)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101232"/>
        <c:crosses val="autoZero"/>
        <c:crossBetween val="between"/>
      </c:valAx>
      <c:valAx>
        <c:axId val="2038895136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year oercentile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392928"/>
        <c:crosses val="max"/>
        <c:crossBetween val="between"/>
      </c:valAx>
      <c:catAx>
        <c:axId val="2039392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38895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311150</xdr:colOff>
      <xdr:row>7</xdr:row>
      <xdr:rowOff>139700</xdr:rowOff>
    </xdr:from>
    <xdr:to>
      <xdr:col>17</xdr:col>
      <xdr:colOff>755650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69BC9-C641-E245-9ACF-F71DB52A2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621095</xdr:colOff>
      <xdr:row>26</xdr:row>
      <xdr:rowOff>0</xdr:rowOff>
    </xdr:from>
    <xdr:to>
      <xdr:col>14</xdr:col>
      <xdr:colOff>407883</xdr:colOff>
      <xdr:row>39</xdr:row>
      <xdr:rowOff>149535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C2AEC4-98E7-4143-AA07-B6B958AB8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813B-C95F-FD42-9E84-6AD5F0E8D6C7}">
  <dimension ref="A1:V53"/>
  <sheetViews>
    <sheetView tabSelected="1" zoomScale="75" workbookViewId="0">
      <selection activeCell="C17" sqref="C17"/>
    </sheetView>
  </sheetViews>
  <sheetFormatPr baseColWidth="10" defaultRowHeight="16" x14ac:dyDescent="0.2"/>
  <sheetData>
    <row r="1" spans="1:22" ht="17" thickBot="1" x14ac:dyDescent="0.25">
      <c r="A1" t="s">
        <v>0</v>
      </c>
      <c r="B1" t="s">
        <v>1</v>
      </c>
      <c r="C1" t="s">
        <v>2</v>
      </c>
      <c r="E1" t="s">
        <v>3</v>
      </c>
      <c r="G1" t="s">
        <v>4</v>
      </c>
      <c r="H1" t="s">
        <v>5</v>
      </c>
      <c r="I1" t="s">
        <v>6</v>
      </c>
      <c r="J1" s="9"/>
    </row>
    <row r="2" spans="1:22" ht="18" thickTop="1" thickBot="1" x14ac:dyDescent="0.25">
      <c r="A2">
        <v>2011</v>
      </c>
      <c r="B2" s="1">
        <f>B21</f>
        <v>90</v>
      </c>
      <c r="C2" s="1">
        <f t="shared" ref="C2:C7" si="0">_xlfn.QUARTILE.INC(C21:G21,0)</f>
        <v>68.05</v>
      </c>
      <c r="D2" s="2">
        <f t="shared" ref="D2:D7" si="1">_xlfn.QUARTILE.INC(C21:G21,1)</f>
        <v>68.152000000000001</v>
      </c>
      <c r="E2" s="3">
        <f t="shared" ref="E2:E7" si="2">_xlfn.QUARTILE.INC(C21:G21,2)</f>
        <v>90</v>
      </c>
      <c r="F2" s="3">
        <f t="shared" ref="F2:F7" si="3">_xlfn.QUARTILE.INC(C21:G21,3)</f>
        <v>90</v>
      </c>
      <c r="G2" s="3">
        <f t="shared" ref="G2:G7" si="4">_xlfn.QUARTILE.INC(C21:G21,4)</f>
        <v>90</v>
      </c>
      <c r="H2" s="4">
        <v>0.93</v>
      </c>
      <c r="I2" s="5">
        <f>G2-C2</f>
        <v>21.950000000000003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17" thickBot="1" x14ac:dyDescent="0.25">
      <c r="A3">
        <f>A2+1</f>
        <v>2012</v>
      </c>
      <c r="B3" s="7">
        <f t="shared" ref="B3:B13" si="5">B22</f>
        <v>29.14</v>
      </c>
      <c r="C3" s="7">
        <f t="shared" si="0"/>
        <v>10</v>
      </c>
      <c r="D3" s="8">
        <f t="shared" si="1"/>
        <v>11.55</v>
      </c>
      <c r="E3" s="8">
        <f t="shared" si="2"/>
        <v>27.457999999999998</v>
      </c>
      <c r="F3" s="8">
        <f t="shared" si="3"/>
        <v>31.274999999999999</v>
      </c>
      <c r="G3" s="8">
        <f t="shared" si="4"/>
        <v>35.508000000000003</v>
      </c>
      <c r="H3" s="6">
        <v>0.26</v>
      </c>
      <c r="I3" s="5">
        <f t="shared" ref="I3:I13" si="6">G3-C3</f>
        <v>25.508000000000003</v>
      </c>
      <c r="K3" s="11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17" thickBot="1" x14ac:dyDescent="0.25">
      <c r="A4">
        <f t="shared" ref="A4:A13" si="7">A3+1</f>
        <v>2013</v>
      </c>
      <c r="B4" s="7">
        <f t="shared" si="5"/>
        <v>29.475999999999999</v>
      </c>
      <c r="C4" s="7">
        <f t="shared" si="0"/>
        <v>15.38</v>
      </c>
      <c r="D4" s="8">
        <f t="shared" si="1"/>
        <v>17.59</v>
      </c>
      <c r="E4" s="8">
        <f t="shared" si="2"/>
        <v>28.53</v>
      </c>
      <c r="F4" s="8">
        <f t="shared" si="3"/>
        <v>31.687999999999999</v>
      </c>
      <c r="G4" s="8">
        <f t="shared" si="4"/>
        <v>49.09</v>
      </c>
      <c r="H4" s="6">
        <v>0.23</v>
      </c>
      <c r="I4" s="5">
        <f t="shared" si="6"/>
        <v>33.71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7" thickBot="1" x14ac:dyDescent="0.25">
      <c r="A5">
        <f t="shared" si="7"/>
        <v>2014</v>
      </c>
      <c r="B5" s="7">
        <f t="shared" si="5"/>
        <v>20.02</v>
      </c>
      <c r="C5" s="7">
        <f t="shared" si="0"/>
        <v>10</v>
      </c>
      <c r="D5" s="8">
        <f t="shared" si="1"/>
        <v>10</v>
      </c>
      <c r="E5" s="8">
        <f t="shared" si="2"/>
        <v>13.648</v>
      </c>
      <c r="F5" s="8">
        <f t="shared" si="3"/>
        <v>28.504000000000001</v>
      </c>
      <c r="G5" s="8">
        <f t="shared" si="4"/>
        <v>40.03</v>
      </c>
      <c r="H5" s="6">
        <v>0.1</v>
      </c>
      <c r="I5" s="5">
        <f t="shared" si="6"/>
        <v>30.03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17" thickBot="1" x14ac:dyDescent="0.25">
      <c r="A6">
        <f t="shared" si="7"/>
        <v>2015</v>
      </c>
      <c r="B6" s="7">
        <f t="shared" si="5"/>
        <v>15.48</v>
      </c>
      <c r="C6" s="7">
        <f t="shared" si="0"/>
        <v>10</v>
      </c>
      <c r="D6" s="8">
        <f t="shared" si="1"/>
        <v>10</v>
      </c>
      <c r="E6" s="8">
        <f t="shared" si="2"/>
        <v>10</v>
      </c>
      <c r="F6" s="8">
        <f t="shared" si="3"/>
        <v>10.050000000000001</v>
      </c>
      <c r="G6" s="8">
        <f t="shared" si="4"/>
        <v>36.15</v>
      </c>
      <c r="H6" s="6">
        <v>0.03</v>
      </c>
      <c r="I6" s="5">
        <f t="shared" si="6"/>
        <v>26.15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17" thickBot="1" x14ac:dyDescent="0.25">
      <c r="A7">
        <f t="shared" si="7"/>
        <v>2016</v>
      </c>
      <c r="B7" s="7">
        <f t="shared" si="5"/>
        <v>60.16</v>
      </c>
      <c r="C7" s="7">
        <f t="shared" si="0"/>
        <v>42.298000000000002</v>
      </c>
      <c r="D7" s="8">
        <f t="shared" si="1"/>
        <v>52.468000000000004</v>
      </c>
      <c r="E7" s="8">
        <f t="shared" si="2"/>
        <v>62.128</v>
      </c>
      <c r="F7" s="8">
        <f t="shared" si="3"/>
        <v>65.567999999999998</v>
      </c>
      <c r="G7" s="8">
        <f t="shared" si="4"/>
        <v>65.828999999999994</v>
      </c>
      <c r="H7" s="6">
        <v>0.55000000000000004</v>
      </c>
      <c r="I7" s="5">
        <f t="shared" si="6"/>
        <v>23.530999999999992</v>
      </c>
    </row>
    <row r="8" spans="1:22" ht="17" thickBot="1" x14ac:dyDescent="0.25">
      <c r="A8">
        <f t="shared" si="7"/>
        <v>2017</v>
      </c>
      <c r="B8" s="7">
        <f t="shared" si="5"/>
        <v>90</v>
      </c>
      <c r="C8" s="7">
        <f>_xlfn.QUARTILE.INC(C27:G27,0)</f>
        <v>63.54</v>
      </c>
      <c r="D8" s="8">
        <f>_xlfn.QUARTILE.INC(C27:G27,1)</f>
        <v>88.17</v>
      </c>
      <c r="E8" s="8">
        <f>_xlfn.QUARTILE.INC(C27:G27,2)</f>
        <v>90</v>
      </c>
      <c r="F8" s="8">
        <f>_xlfn.QUARTILE.INC(C27:G27,3)</f>
        <v>90</v>
      </c>
      <c r="G8" s="8">
        <f>_xlfn.QUARTILE.INC(C27:G27,4)</f>
        <v>90</v>
      </c>
      <c r="H8" s="6">
        <v>0.97</v>
      </c>
      <c r="I8" s="5">
        <f t="shared" si="6"/>
        <v>26.46</v>
      </c>
    </row>
    <row r="9" spans="1:22" ht="17" thickBot="1" x14ac:dyDescent="0.25">
      <c r="A9">
        <f t="shared" si="7"/>
        <v>2018</v>
      </c>
      <c r="B9" s="7">
        <f t="shared" si="5"/>
        <v>55.8</v>
      </c>
      <c r="C9" s="7">
        <f t="shared" ref="C9:C13" si="8">_xlfn.QUARTILE.INC(C28:G28,0)</f>
        <v>26.163668817846698</v>
      </c>
      <c r="D9" s="8">
        <f t="shared" ref="D9:D13" si="9">_xlfn.QUARTILE.INC(C28:G28,1)</f>
        <v>43.823473001446153</v>
      </c>
      <c r="E9" s="8">
        <f t="shared" ref="E9:E13" si="10">_xlfn.QUARTILE.INC(C28:G28,2)</f>
        <v>65.261240661926564</v>
      </c>
      <c r="F9" s="8">
        <f t="shared" ref="F9:F13" si="11">_xlfn.QUARTILE.INC(C28:G28,3)</f>
        <v>66.986000000000004</v>
      </c>
      <c r="G9" s="8">
        <f t="shared" ref="G9:G13" si="12">_xlfn.QUARTILE.INC(C28:G28,4)</f>
        <v>86.332999999999998</v>
      </c>
      <c r="H9" s="6">
        <v>0.45</v>
      </c>
      <c r="I9" s="5">
        <f t="shared" si="6"/>
        <v>60.1693311821533</v>
      </c>
    </row>
    <row r="10" spans="1:22" ht="17" thickBot="1" x14ac:dyDescent="0.25">
      <c r="A10">
        <f t="shared" si="7"/>
        <v>2019</v>
      </c>
      <c r="B10" s="7">
        <f t="shared" si="5"/>
        <v>90</v>
      </c>
      <c r="C10" s="7">
        <f t="shared" si="8"/>
        <v>54.609000000000002</v>
      </c>
      <c r="D10" s="8">
        <f t="shared" si="9"/>
        <v>90</v>
      </c>
      <c r="E10" s="8">
        <f t="shared" si="10"/>
        <v>90</v>
      </c>
      <c r="F10" s="8">
        <f t="shared" si="11"/>
        <v>90</v>
      </c>
      <c r="G10" s="8">
        <f t="shared" si="12"/>
        <v>90</v>
      </c>
      <c r="H10" s="6">
        <v>0.77</v>
      </c>
      <c r="I10" s="5">
        <f t="shared" si="6"/>
        <v>35.390999999999998</v>
      </c>
    </row>
    <row r="11" spans="1:22" ht="17" thickBot="1" x14ac:dyDescent="0.25">
      <c r="A11">
        <f t="shared" si="7"/>
        <v>2020</v>
      </c>
      <c r="B11" s="7">
        <f t="shared" si="5"/>
        <v>31.606000000000002</v>
      </c>
      <c r="C11" s="8">
        <f t="shared" si="8"/>
        <v>10</v>
      </c>
      <c r="D11" s="8">
        <f t="shared" si="9"/>
        <v>22.617000000000001</v>
      </c>
      <c r="E11" s="8">
        <f t="shared" si="10"/>
        <v>27.63</v>
      </c>
      <c r="F11" s="7">
        <f t="shared" si="11"/>
        <v>43.552</v>
      </c>
      <c r="G11" s="8">
        <f t="shared" si="12"/>
        <v>59.192</v>
      </c>
      <c r="H11" s="6">
        <v>0.28999999999999998</v>
      </c>
      <c r="I11" s="5">
        <f t="shared" si="6"/>
        <v>49.192</v>
      </c>
    </row>
    <row r="12" spans="1:22" ht="17" thickBot="1" x14ac:dyDescent="0.25">
      <c r="A12">
        <f t="shared" si="7"/>
        <v>2021</v>
      </c>
      <c r="B12" s="7">
        <f t="shared" si="5"/>
        <v>19.399999999999999</v>
      </c>
      <c r="C12" s="8">
        <f t="shared" si="8"/>
        <v>10.36</v>
      </c>
      <c r="D12" s="8">
        <f t="shared" si="9"/>
        <v>11.521000000000001</v>
      </c>
      <c r="E12" s="8">
        <f t="shared" si="10"/>
        <v>24.6</v>
      </c>
      <c r="F12" s="7">
        <f t="shared" si="11"/>
        <v>27.36</v>
      </c>
      <c r="G12" s="8">
        <f t="shared" si="12"/>
        <v>45.752000000000002</v>
      </c>
      <c r="H12" s="6">
        <v>0.06</v>
      </c>
      <c r="I12" s="5">
        <f t="shared" si="6"/>
        <v>35.392000000000003</v>
      </c>
    </row>
    <row r="13" spans="1:22" ht="17" thickBot="1" x14ac:dyDescent="0.25">
      <c r="A13">
        <f t="shared" si="7"/>
        <v>2022</v>
      </c>
      <c r="B13" s="7">
        <f t="shared" si="5"/>
        <v>31.289000000000001</v>
      </c>
      <c r="C13" s="7">
        <f t="shared" si="8"/>
        <v>10</v>
      </c>
      <c r="D13" s="8">
        <f t="shared" si="9"/>
        <v>10</v>
      </c>
      <c r="E13" s="8">
        <f t="shared" si="10"/>
        <v>25.228999999999999</v>
      </c>
      <c r="F13" s="8">
        <f t="shared" si="11"/>
        <v>29.484999999999999</v>
      </c>
      <c r="G13" s="8">
        <f t="shared" si="12"/>
        <v>52.15</v>
      </c>
      <c r="H13" s="6">
        <v>0.35</v>
      </c>
      <c r="I13" s="5">
        <f t="shared" si="6"/>
        <v>42.15</v>
      </c>
    </row>
    <row r="20" spans="1:8" ht="17" thickBot="1" x14ac:dyDescent="0.25">
      <c r="A20" t="s">
        <v>0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  <c r="G20" t="s">
        <v>12</v>
      </c>
    </row>
    <row r="21" spans="1:8" ht="18" thickTop="1" thickBot="1" x14ac:dyDescent="0.25">
      <c r="A21">
        <v>2011</v>
      </c>
      <c r="B21" s="1">
        <v>90</v>
      </c>
      <c r="C21" s="1">
        <v>68.05</v>
      </c>
      <c r="D21" s="2">
        <v>68.152000000000001</v>
      </c>
      <c r="E21" s="3">
        <v>90</v>
      </c>
      <c r="F21" s="3">
        <v>90</v>
      </c>
      <c r="G21" s="3">
        <v>90</v>
      </c>
    </row>
    <row r="22" spans="1:8" ht="17" thickBot="1" x14ac:dyDescent="0.25">
      <c r="A22">
        <f>A21+1</f>
        <v>2012</v>
      </c>
      <c r="B22" s="7">
        <v>29.14</v>
      </c>
      <c r="C22" s="7">
        <v>11.55</v>
      </c>
      <c r="D22" s="8">
        <v>10</v>
      </c>
      <c r="E22" s="8">
        <v>31.274999999999999</v>
      </c>
      <c r="F22" s="8">
        <v>35.508000000000003</v>
      </c>
      <c r="G22" s="8">
        <v>27.457999999999998</v>
      </c>
    </row>
    <row r="23" spans="1:8" ht="17" thickBot="1" x14ac:dyDescent="0.25">
      <c r="A23">
        <f t="shared" ref="A23:A32" si="13">A22+1</f>
        <v>2013</v>
      </c>
      <c r="B23" s="7">
        <v>29.475999999999999</v>
      </c>
      <c r="C23" s="7">
        <v>49.09</v>
      </c>
      <c r="D23" s="8">
        <v>17.59</v>
      </c>
      <c r="E23" s="8">
        <v>28.53</v>
      </c>
      <c r="F23" s="8">
        <v>15.38</v>
      </c>
      <c r="G23" s="8">
        <v>31.687999999999999</v>
      </c>
    </row>
    <row r="24" spans="1:8" ht="17" thickBot="1" x14ac:dyDescent="0.25">
      <c r="A24">
        <f t="shared" si="13"/>
        <v>2014</v>
      </c>
      <c r="B24" s="7">
        <v>20.02</v>
      </c>
      <c r="C24" s="7">
        <v>10</v>
      </c>
      <c r="D24" s="8">
        <v>10</v>
      </c>
      <c r="E24" s="8">
        <v>28.504000000000001</v>
      </c>
      <c r="F24" s="8">
        <v>13.648</v>
      </c>
      <c r="G24" s="8">
        <v>40.03</v>
      </c>
    </row>
    <row r="25" spans="1:8" ht="17" thickBot="1" x14ac:dyDescent="0.25">
      <c r="A25">
        <f t="shared" si="13"/>
        <v>2015</v>
      </c>
      <c r="B25" s="7">
        <v>15.48</v>
      </c>
      <c r="C25" s="7">
        <v>10</v>
      </c>
      <c r="D25" s="8">
        <v>10</v>
      </c>
      <c r="E25" s="8">
        <v>10</v>
      </c>
      <c r="F25" s="8">
        <v>10.050000000000001</v>
      </c>
      <c r="G25" s="8">
        <v>36.15</v>
      </c>
    </row>
    <row r="26" spans="1:8" ht="17" thickBot="1" x14ac:dyDescent="0.25">
      <c r="A26">
        <f t="shared" si="13"/>
        <v>2016</v>
      </c>
      <c r="B26" s="7">
        <v>60.16</v>
      </c>
      <c r="C26" s="7">
        <v>62.128</v>
      </c>
      <c r="D26" s="8">
        <v>52.468000000000004</v>
      </c>
      <c r="E26" s="8">
        <v>65.567999999999998</v>
      </c>
      <c r="F26" s="8">
        <v>65.828999999999994</v>
      </c>
      <c r="G26" s="8">
        <v>42.298000000000002</v>
      </c>
    </row>
    <row r="27" spans="1:8" ht="17" thickBot="1" x14ac:dyDescent="0.25">
      <c r="A27">
        <f t="shared" si="13"/>
        <v>2017</v>
      </c>
      <c r="B27" s="7">
        <v>90</v>
      </c>
      <c r="C27" s="7">
        <v>88.17</v>
      </c>
      <c r="D27" s="8">
        <v>63.54</v>
      </c>
      <c r="E27" s="8">
        <v>90</v>
      </c>
      <c r="F27" s="8">
        <v>90</v>
      </c>
      <c r="G27" s="8">
        <v>90</v>
      </c>
    </row>
    <row r="28" spans="1:8" ht="17" thickBot="1" x14ac:dyDescent="0.25">
      <c r="A28">
        <f t="shared" si="13"/>
        <v>2018</v>
      </c>
      <c r="B28" s="13">
        <v>55.8</v>
      </c>
      <c r="C28" s="12">
        <v>43.823473001446153</v>
      </c>
      <c r="D28" s="14">
        <v>26.163668817846698</v>
      </c>
      <c r="E28" s="14">
        <v>65.261240661926564</v>
      </c>
      <c r="F28" s="14">
        <v>66.986000000000004</v>
      </c>
      <c r="G28" s="14">
        <v>86.332999999999998</v>
      </c>
      <c r="H28" t="s">
        <v>16</v>
      </c>
    </row>
    <row r="29" spans="1:8" ht="17" thickBot="1" x14ac:dyDescent="0.25">
      <c r="A29">
        <f t="shared" si="13"/>
        <v>2019</v>
      </c>
      <c r="B29" s="7">
        <v>90</v>
      </c>
      <c r="C29" s="7">
        <v>54.609000000000002</v>
      </c>
      <c r="D29" s="8">
        <v>90</v>
      </c>
      <c r="E29" s="8">
        <v>90</v>
      </c>
      <c r="F29" s="8">
        <v>90</v>
      </c>
      <c r="G29" s="8">
        <v>90</v>
      </c>
    </row>
    <row r="30" spans="1:8" ht="17" thickBot="1" x14ac:dyDescent="0.25">
      <c r="A30">
        <f t="shared" si="13"/>
        <v>2020</v>
      </c>
      <c r="B30" s="7">
        <v>31.606000000000002</v>
      </c>
      <c r="C30" s="8">
        <v>43.552</v>
      </c>
      <c r="D30" s="8">
        <v>10</v>
      </c>
      <c r="E30" s="8">
        <v>27.63</v>
      </c>
      <c r="F30" s="7">
        <v>22.617000000000001</v>
      </c>
      <c r="G30" s="8">
        <v>59.192</v>
      </c>
    </row>
    <row r="31" spans="1:8" ht="17" thickBot="1" x14ac:dyDescent="0.25">
      <c r="A31">
        <f t="shared" si="13"/>
        <v>2021</v>
      </c>
      <c r="B31" s="7">
        <v>19.399999999999999</v>
      </c>
      <c r="C31" s="8">
        <v>45.752000000000002</v>
      </c>
      <c r="D31" s="8">
        <v>10.36</v>
      </c>
      <c r="E31" s="8">
        <v>27.36</v>
      </c>
      <c r="F31" s="7">
        <v>11.521000000000001</v>
      </c>
      <c r="G31" s="8">
        <v>24.6</v>
      </c>
    </row>
    <row r="32" spans="1:8" ht="17" thickBot="1" x14ac:dyDescent="0.25">
      <c r="A32">
        <f t="shared" si="13"/>
        <v>2022</v>
      </c>
      <c r="B32" s="7">
        <v>31.289000000000001</v>
      </c>
      <c r="C32" s="7">
        <v>52.15</v>
      </c>
      <c r="D32" s="8">
        <v>10</v>
      </c>
      <c r="E32" s="8">
        <v>10</v>
      </c>
      <c r="F32" s="8">
        <v>25.228999999999999</v>
      </c>
      <c r="G32" s="8">
        <v>29.484999999999999</v>
      </c>
    </row>
    <row r="40" spans="2:3" x14ac:dyDescent="0.2">
      <c r="B40" t="s">
        <v>13</v>
      </c>
    </row>
    <row r="41" spans="2:3" ht="17" thickBot="1" x14ac:dyDescent="0.25">
      <c r="B41" t="s">
        <v>14</v>
      </c>
      <c r="C41" t="s">
        <v>15</v>
      </c>
    </row>
    <row r="42" spans="2:3" ht="18" thickTop="1" thickBot="1" x14ac:dyDescent="0.25">
      <c r="B42" s="1">
        <v>90</v>
      </c>
      <c r="C42" s="1">
        <v>90</v>
      </c>
    </row>
    <row r="43" spans="2:3" ht="17" thickBot="1" x14ac:dyDescent="0.25">
      <c r="B43" s="7">
        <v>30</v>
      </c>
      <c r="C43" s="7">
        <v>29.14</v>
      </c>
    </row>
    <row r="44" spans="2:3" ht="17" thickBot="1" x14ac:dyDescent="0.25">
      <c r="B44" s="7">
        <v>24</v>
      </c>
      <c r="C44" s="7">
        <v>29.475999999999999</v>
      </c>
    </row>
    <row r="45" spans="2:3" ht="17" thickBot="1" x14ac:dyDescent="0.25">
      <c r="B45" s="7">
        <v>18</v>
      </c>
      <c r="C45" s="7">
        <v>20.02</v>
      </c>
    </row>
    <row r="46" spans="2:3" ht="17" thickBot="1" x14ac:dyDescent="0.25">
      <c r="B46" s="7">
        <v>13</v>
      </c>
      <c r="C46" s="7">
        <v>15.48</v>
      </c>
    </row>
    <row r="47" spans="2:3" ht="17" thickBot="1" x14ac:dyDescent="0.25">
      <c r="B47" s="7">
        <v>45</v>
      </c>
      <c r="C47" s="7">
        <v>60.16</v>
      </c>
    </row>
    <row r="48" spans="2:3" ht="17" thickBot="1" x14ac:dyDescent="0.25">
      <c r="B48" s="7">
        <v>90</v>
      </c>
      <c r="C48" s="7">
        <v>90</v>
      </c>
    </row>
    <row r="49" spans="2:3" ht="17" thickBot="1" x14ac:dyDescent="0.25">
      <c r="B49" s="7">
        <v>44</v>
      </c>
      <c r="C49" s="7">
        <v>55.8</v>
      </c>
    </row>
    <row r="50" spans="2:3" ht="17" thickBot="1" x14ac:dyDescent="0.25">
      <c r="B50" s="7">
        <v>90</v>
      </c>
      <c r="C50" s="7">
        <v>90</v>
      </c>
    </row>
    <row r="51" spans="2:3" ht="17" thickBot="1" x14ac:dyDescent="0.25">
      <c r="B51" s="7">
        <v>32</v>
      </c>
      <c r="C51" s="7">
        <v>31.606000000000002</v>
      </c>
    </row>
    <row r="52" spans="2:3" ht="17" thickBot="1" x14ac:dyDescent="0.25">
      <c r="B52" s="7">
        <v>15</v>
      </c>
      <c r="C52" s="7">
        <v>19.399999999999999</v>
      </c>
    </row>
    <row r="53" spans="2:3" ht="17" thickBot="1" x14ac:dyDescent="0.25">
      <c r="B53" s="7">
        <v>26</v>
      </c>
      <c r="C53" s="7">
        <v>31.289000000000001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 obj 1_26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Murdoch</dc:creator>
  <cp:lastModifiedBy>Lindsay Murdoch</cp:lastModifiedBy>
  <dcterms:created xsi:type="dcterms:W3CDTF">2026-01-28T00:23:32Z</dcterms:created>
  <dcterms:modified xsi:type="dcterms:W3CDTF">2026-03-01T21:38:38Z</dcterms:modified>
</cp:coreProperties>
</file>