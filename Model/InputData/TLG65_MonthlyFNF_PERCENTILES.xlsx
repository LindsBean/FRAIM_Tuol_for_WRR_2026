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InputData/"/>
    </mc:Choice>
  </mc:AlternateContent>
  <xr:revisionPtr revIDLastSave="0" documentId="13_ncr:1_{58EA3D9A-9B9B-4F44-A924-B6C24E0D7041}" xr6:coauthVersionLast="47" xr6:coauthVersionMax="47" xr10:uidLastSave="{00000000-0000-0000-0000-000000000000}"/>
  <bookViews>
    <workbookView xWindow="3420" yWindow="500" windowWidth="25380" windowHeight="15240" activeTab="2" xr2:uid="{00000000-000D-0000-FFFF-FFFF00000000}"/>
  </bookViews>
  <sheets>
    <sheet name="TLG65_MonthlyFNF" sheetId="1" r:id="rId1"/>
    <sheet name="FEB_JUN" sheetId="2" r:id="rId2"/>
    <sheet name="F-J_piles" sheetId="3" r:id="rId3"/>
    <sheet name="ANNUAL" sheetId="4" r:id="rId4"/>
    <sheet name="Hist" sheetId="6" r:id="rId5"/>
    <sheet name="Sheet1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N3" i="4" l="1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2" i="4"/>
  <c r="K128" i="4"/>
  <c r="C2" i="4"/>
  <c r="D2" i="4" s="1"/>
  <c r="B4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E2" i="2"/>
  <c r="D2" i="2"/>
  <c r="B113" i="2"/>
  <c r="B114" i="2"/>
  <c r="B115" i="2"/>
  <c r="B116" i="2"/>
  <c r="B117" i="2" s="1"/>
  <c r="B118" i="2" s="1"/>
  <c r="B119" i="2" s="1"/>
  <c r="B120" i="2" s="1"/>
  <c r="B121" i="2" s="1"/>
  <c r="B122" i="2" s="1"/>
  <c r="B123" i="2" s="1"/>
  <c r="B5" i="2"/>
  <c r="B6" i="2"/>
  <c r="B7" i="2"/>
  <c r="B8" i="2" s="1"/>
  <c r="B9" i="2" s="1"/>
  <c r="B10" i="2" s="1"/>
  <c r="B11" i="2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4" i="2"/>
  <c r="C14" i="2"/>
  <c r="C4" i="2"/>
  <c r="C53" i="2"/>
  <c r="C18" i="2"/>
  <c r="C4" i="4"/>
  <c r="C123" i="2"/>
  <c r="C12" i="2"/>
  <c r="C117" i="2"/>
  <c r="C8" i="2"/>
  <c r="C25" i="2"/>
  <c r="C26" i="2"/>
  <c r="C52" i="2"/>
  <c r="C49" i="2"/>
  <c r="C22" i="2"/>
  <c r="C27" i="2"/>
  <c r="C119" i="2"/>
  <c r="C99" i="2"/>
  <c r="C89" i="2"/>
  <c r="C63" i="2"/>
  <c r="C37" i="2"/>
  <c r="C81" i="2"/>
  <c r="C105" i="2"/>
  <c r="C39" i="2"/>
  <c r="C108" i="2"/>
  <c r="C98" i="2"/>
  <c r="C109" i="2"/>
  <c r="C116" i="2"/>
  <c r="C114" i="2"/>
  <c r="C95" i="2"/>
  <c r="C91" i="2"/>
  <c r="C65" i="2"/>
  <c r="C31" i="2"/>
  <c r="C29" i="2"/>
  <c r="C57" i="2"/>
  <c r="C101" i="2"/>
  <c r="C19" i="2"/>
  <c r="C104" i="2"/>
  <c r="C47" i="2"/>
  <c r="C75" i="2"/>
  <c r="C80" i="2"/>
  <c r="C71" i="2"/>
  <c r="C83" i="2"/>
  <c r="C41" i="2"/>
  <c r="C118" i="2"/>
  <c r="C21" i="2"/>
  <c r="C33" i="2"/>
  <c r="C93" i="2"/>
  <c r="C122" i="2"/>
  <c r="C110" i="2"/>
  <c r="C102" i="2"/>
  <c r="C85" i="2"/>
  <c r="C94" i="2"/>
  <c r="C64" i="2"/>
  <c r="C44" i="2"/>
  <c r="C103" i="2"/>
  <c r="C62" i="2"/>
  <c r="C115" i="2"/>
  <c r="C92" i="2"/>
  <c r="C60" i="2"/>
  <c r="C35" i="2"/>
  <c r="C113" i="2"/>
  <c r="C28" i="2"/>
  <c r="C36" i="2"/>
  <c r="C100" i="2"/>
  <c r="C82" i="2"/>
  <c r="C112" i="2"/>
  <c r="C54" i="2"/>
  <c r="C59" i="2"/>
  <c r="C17" i="2"/>
  <c r="C86" i="2"/>
  <c r="C13" i="2"/>
  <c r="C120" i="2"/>
  <c r="C106" i="2"/>
  <c r="C20" i="2"/>
  <c r="C56" i="2"/>
  <c r="C9" i="2"/>
  <c r="C30" i="2"/>
  <c r="C10" i="2"/>
  <c r="C68" i="2"/>
  <c r="C97" i="2"/>
  <c r="C43" i="2"/>
  <c r="C40" i="2"/>
  <c r="C58" i="2"/>
  <c r="C55" i="2"/>
  <c r="C79" i="2"/>
  <c r="C73" i="2"/>
  <c r="C38" i="2"/>
  <c r="C24" i="2"/>
  <c r="C107" i="2"/>
  <c r="C87" i="2"/>
  <c r="C23" i="2"/>
  <c r="C67" i="2"/>
  <c r="C74" i="2"/>
  <c r="C72" i="2"/>
  <c r="C111" i="2"/>
  <c r="C5" i="2"/>
  <c r="C96" i="2"/>
  <c r="C77" i="2"/>
  <c r="C90" i="2"/>
  <c r="C70" i="2"/>
  <c r="C3" i="2"/>
  <c r="C32" i="2"/>
  <c r="C84" i="2"/>
  <c r="C34" i="2"/>
  <c r="C45" i="2"/>
  <c r="C88" i="2"/>
  <c r="C6" i="2"/>
  <c r="C61" i="2"/>
  <c r="C42" i="2"/>
  <c r="C7" i="2"/>
  <c r="C69" i="2"/>
  <c r="C66" i="2"/>
  <c r="C46" i="2"/>
  <c r="C11" i="2"/>
  <c r="C16" i="2"/>
  <c r="C76" i="2"/>
  <c r="C121" i="2"/>
  <c r="C78" i="2"/>
  <c r="C51" i="2"/>
  <c r="C15" i="2"/>
  <c r="C50" i="2"/>
  <c r="C48" i="2"/>
  <c r="D4" i="4" l="1"/>
  <c r="D3" i="4"/>
  <c r="B5" i="4"/>
  <c r="D3" i="2"/>
  <c r="E3" i="2" s="1"/>
  <c r="D11" i="2"/>
  <c r="E11" i="2" s="1"/>
  <c r="D10" i="2"/>
  <c r="E10" i="2" s="1"/>
  <c r="D9" i="2"/>
  <c r="E9" i="2" s="1"/>
  <c r="D8" i="2"/>
  <c r="E8" i="2" s="1"/>
  <c r="D7" i="2"/>
  <c r="E7" i="2" s="1"/>
  <c r="D19" i="2"/>
  <c r="E19" i="2" s="1"/>
  <c r="D122" i="2"/>
  <c r="E122" i="2" s="1"/>
  <c r="D106" i="2"/>
  <c r="E106" i="2" s="1"/>
  <c r="D90" i="2"/>
  <c r="E90" i="2" s="1"/>
  <c r="D66" i="2"/>
  <c r="E66" i="2" s="1"/>
  <c r="D42" i="2"/>
  <c r="E42" i="2" s="1"/>
  <c r="D18" i="2"/>
  <c r="E18" i="2" s="1"/>
  <c r="D105" i="2"/>
  <c r="E105" i="2" s="1"/>
  <c r="D81" i="2"/>
  <c r="E81" i="2" s="1"/>
  <c r="D57" i="2"/>
  <c r="E57" i="2" s="1"/>
  <c r="D33" i="2"/>
  <c r="E33" i="2" s="1"/>
  <c r="D120" i="2"/>
  <c r="E120" i="2" s="1"/>
  <c r="D96" i="2"/>
  <c r="E96" i="2" s="1"/>
  <c r="D72" i="2"/>
  <c r="E72" i="2" s="1"/>
  <c r="D48" i="2"/>
  <c r="E48" i="2" s="1"/>
  <c r="D111" i="2"/>
  <c r="E111" i="2" s="1"/>
  <c r="D87" i="2"/>
  <c r="E87" i="2" s="1"/>
  <c r="D63" i="2"/>
  <c r="E63" i="2" s="1"/>
  <c r="D31" i="2"/>
  <c r="E31" i="2" s="1"/>
  <c r="D118" i="2"/>
  <c r="E118" i="2" s="1"/>
  <c r="D86" i="2"/>
  <c r="E86" i="2" s="1"/>
  <c r="D54" i="2"/>
  <c r="E54" i="2" s="1"/>
  <c r="D6" i="2"/>
  <c r="E6" i="2" s="1"/>
  <c r="D123" i="2"/>
  <c r="E123" i="2" s="1"/>
  <c r="D115" i="2"/>
  <c r="E115" i="2" s="1"/>
  <c r="D107" i="2"/>
  <c r="E107" i="2" s="1"/>
  <c r="D99" i="2"/>
  <c r="E99" i="2" s="1"/>
  <c r="D91" i="2"/>
  <c r="E91" i="2" s="1"/>
  <c r="D83" i="2"/>
  <c r="E83" i="2" s="1"/>
  <c r="D75" i="2"/>
  <c r="E75" i="2" s="1"/>
  <c r="D67" i="2"/>
  <c r="E67" i="2" s="1"/>
  <c r="D59" i="2"/>
  <c r="E59" i="2" s="1"/>
  <c r="D51" i="2"/>
  <c r="E51" i="2" s="1"/>
  <c r="D43" i="2"/>
  <c r="E43" i="2" s="1"/>
  <c r="D35" i="2"/>
  <c r="E35" i="2" s="1"/>
  <c r="D27" i="2"/>
  <c r="E27" i="2" s="1"/>
  <c r="D114" i="2"/>
  <c r="E114" i="2" s="1"/>
  <c r="D98" i="2"/>
  <c r="E98" i="2" s="1"/>
  <c r="D82" i="2"/>
  <c r="E82" i="2" s="1"/>
  <c r="D58" i="2"/>
  <c r="E58" i="2" s="1"/>
  <c r="D34" i="2"/>
  <c r="E34" i="2" s="1"/>
  <c r="D121" i="2"/>
  <c r="E121" i="2" s="1"/>
  <c r="D97" i="2"/>
  <c r="E97" i="2" s="1"/>
  <c r="D73" i="2"/>
  <c r="E73" i="2" s="1"/>
  <c r="D49" i="2"/>
  <c r="E49" i="2" s="1"/>
  <c r="D25" i="2"/>
  <c r="E25" i="2" s="1"/>
  <c r="D104" i="2"/>
  <c r="E104" i="2" s="1"/>
  <c r="D80" i="2"/>
  <c r="E80" i="2" s="1"/>
  <c r="D56" i="2"/>
  <c r="E56" i="2" s="1"/>
  <c r="D32" i="2"/>
  <c r="E32" i="2" s="1"/>
  <c r="D16" i="2"/>
  <c r="E16" i="2" s="1"/>
  <c r="D103" i="2"/>
  <c r="E103" i="2" s="1"/>
  <c r="D79" i="2"/>
  <c r="E79" i="2" s="1"/>
  <c r="D55" i="2"/>
  <c r="E55" i="2" s="1"/>
  <c r="D39" i="2"/>
  <c r="E39" i="2" s="1"/>
  <c r="D15" i="2"/>
  <c r="E15" i="2" s="1"/>
  <c r="D110" i="2"/>
  <c r="E110" i="2" s="1"/>
  <c r="D94" i="2"/>
  <c r="E94" i="2" s="1"/>
  <c r="D70" i="2"/>
  <c r="E70" i="2" s="1"/>
  <c r="D46" i="2"/>
  <c r="E46" i="2" s="1"/>
  <c r="D30" i="2"/>
  <c r="E30" i="2" s="1"/>
  <c r="D14" i="2"/>
  <c r="E14" i="2" s="1"/>
  <c r="D117" i="2"/>
  <c r="E117" i="2" s="1"/>
  <c r="D109" i="2"/>
  <c r="E109" i="2" s="1"/>
  <c r="D101" i="2"/>
  <c r="E101" i="2" s="1"/>
  <c r="D93" i="2"/>
  <c r="E93" i="2" s="1"/>
  <c r="D85" i="2"/>
  <c r="E85" i="2" s="1"/>
  <c r="D77" i="2"/>
  <c r="E77" i="2" s="1"/>
  <c r="D69" i="2"/>
  <c r="E69" i="2" s="1"/>
  <c r="D61" i="2"/>
  <c r="E61" i="2" s="1"/>
  <c r="D53" i="2"/>
  <c r="E53" i="2" s="1"/>
  <c r="D45" i="2"/>
  <c r="E45" i="2" s="1"/>
  <c r="D37" i="2"/>
  <c r="E37" i="2" s="1"/>
  <c r="D29" i="2"/>
  <c r="E29" i="2" s="1"/>
  <c r="D21" i="2"/>
  <c r="E21" i="2" s="1"/>
  <c r="D13" i="2"/>
  <c r="E13" i="2" s="1"/>
  <c r="D5" i="2"/>
  <c r="E5" i="2" s="1"/>
  <c r="D74" i="2"/>
  <c r="E74" i="2" s="1"/>
  <c r="D50" i="2"/>
  <c r="E50" i="2" s="1"/>
  <c r="D26" i="2"/>
  <c r="E26" i="2" s="1"/>
  <c r="D113" i="2"/>
  <c r="E113" i="2" s="1"/>
  <c r="D89" i="2"/>
  <c r="E89" i="2" s="1"/>
  <c r="D65" i="2"/>
  <c r="E65" i="2" s="1"/>
  <c r="D41" i="2"/>
  <c r="E41" i="2" s="1"/>
  <c r="D17" i="2"/>
  <c r="E17" i="2" s="1"/>
  <c r="D112" i="2"/>
  <c r="E112" i="2" s="1"/>
  <c r="D88" i="2"/>
  <c r="E88" i="2" s="1"/>
  <c r="D64" i="2"/>
  <c r="E64" i="2" s="1"/>
  <c r="D40" i="2"/>
  <c r="E40" i="2" s="1"/>
  <c r="D24" i="2"/>
  <c r="E24" i="2" s="1"/>
  <c r="D119" i="2"/>
  <c r="E119" i="2" s="1"/>
  <c r="D95" i="2"/>
  <c r="E95" i="2" s="1"/>
  <c r="D71" i="2"/>
  <c r="E71" i="2" s="1"/>
  <c r="D47" i="2"/>
  <c r="E47" i="2" s="1"/>
  <c r="D23" i="2"/>
  <c r="E23" i="2" s="1"/>
  <c r="D102" i="2"/>
  <c r="E102" i="2" s="1"/>
  <c r="D78" i="2"/>
  <c r="E78" i="2" s="1"/>
  <c r="D62" i="2"/>
  <c r="E62" i="2" s="1"/>
  <c r="D38" i="2"/>
  <c r="E38" i="2" s="1"/>
  <c r="D22" i="2"/>
  <c r="E22" i="2" s="1"/>
  <c r="D116" i="2"/>
  <c r="E116" i="2" s="1"/>
  <c r="D108" i="2"/>
  <c r="E108" i="2" s="1"/>
  <c r="D100" i="2"/>
  <c r="E100" i="2" s="1"/>
  <c r="D92" i="2"/>
  <c r="E92" i="2" s="1"/>
  <c r="D84" i="2"/>
  <c r="E84" i="2" s="1"/>
  <c r="D76" i="2"/>
  <c r="E76" i="2" s="1"/>
  <c r="D68" i="2"/>
  <c r="E68" i="2" s="1"/>
  <c r="D60" i="2"/>
  <c r="E60" i="2" s="1"/>
  <c r="D52" i="2"/>
  <c r="E52" i="2" s="1"/>
  <c r="D44" i="2"/>
  <c r="E44" i="2" s="1"/>
  <c r="D36" i="2"/>
  <c r="E36" i="2" s="1"/>
  <c r="D28" i="2"/>
  <c r="E28" i="2" s="1"/>
  <c r="D20" i="2"/>
  <c r="E20" i="2" s="1"/>
  <c r="D12" i="2"/>
  <c r="E12" i="2" s="1"/>
  <c r="D4" i="2"/>
  <c r="E4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C2" i="2"/>
  <c r="C5" i="4"/>
  <c r="B6" i="4" l="1"/>
  <c r="C6" i="4"/>
  <c r="D5" i="4" l="1"/>
  <c r="B7" i="4"/>
  <c r="C7" i="4"/>
  <c r="D6" i="4" l="1"/>
  <c r="B8" i="4"/>
  <c r="C8" i="4"/>
  <c r="D7" i="4" l="1"/>
  <c r="B9" i="4"/>
  <c r="C9" i="4"/>
  <c r="D8" i="4" l="1"/>
  <c r="B10" i="4"/>
  <c r="C10" i="4"/>
  <c r="D9" i="4" l="1"/>
  <c r="B11" i="4"/>
  <c r="C11" i="4"/>
  <c r="D10" i="4" l="1"/>
  <c r="B12" i="4"/>
  <c r="C12" i="4"/>
  <c r="D11" i="4" l="1"/>
  <c r="B13" i="4"/>
  <c r="C13" i="4"/>
  <c r="D12" i="4" l="1"/>
  <c r="B14" i="4"/>
  <c r="C14" i="4"/>
  <c r="D13" i="4" l="1"/>
  <c r="B15" i="4"/>
  <c r="C15" i="4"/>
  <c r="D14" i="4" l="1"/>
  <c r="B16" i="4"/>
  <c r="C16" i="4"/>
  <c r="D15" i="4" l="1"/>
  <c r="B17" i="4"/>
  <c r="C17" i="4"/>
  <c r="D16" i="4" l="1"/>
  <c r="B18" i="4"/>
  <c r="C18" i="4"/>
  <c r="D17" i="4" l="1"/>
  <c r="B19" i="4"/>
  <c r="C19" i="4"/>
  <c r="D18" i="4" l="1"/>
  <c r="B20" i="4"/>
  <c r="C20" i="4"/>
  <c r="D19" i="4" l="1"/>
  <c r="B21" i="4"/>
  <c r="C21" i="4"/>
  <c r="D20" i="4" l="1"/>
  <c r="B22" i="4"/>
  <c r="C22" i="4"/>
  <c r="D21" i="4" l="1"/>
  <c r="B23" i="4"/>
  <c r="C23" i="4"/>
  <c r="D22" i="4" l="1"/>
  <c r="B24" i="4"/>
  <c r="C24" i="4"/>
  <c r="D23" i="4" l="1"/>
  <c r="B25" i="4"/>
  <c r="C25" i="4"/>
  <c r="D24" i="4" l="1"/>
  <c r="B26" i="4"/>
  <c r="C26" i="4"/>
  <c r="D25" i="4" l="1"/>
  <c r="B27" i="4"/>
  <c r="C27" i="4"/>
  <c r="D26" i="4" l="1"/>
  <c r="B28" i="4"/>
  <c r="C28" i="4"/>
  <c r="D27" i="4" l="1"/>
  <c r="B29" i="4"/>
  <c r="C29" i="4"/>
  <c r="D28" i="4" l="1"/>
  <c r="B30" i="4"/>
  <c r="C30" i="4"/>
  <c r="D29" i="4" l="1"/>
  <c r="B31" i="4"/>
  <c r="C31" i="4"/>
  <c r="D30" i="4" l="1"/>
  <c r="B32" i="4"/>
  <c r="C32" i="4"/>
  <c r="D31" i="4" l="1"/>
  <c r="B33" i="4"/>
  <c r="C33" i="4"/>
  <c r="D32" i="4" l="1"/>
  <c r="B34" i="4"/>
  <c r="C34" i="4"/>
  <c r="D33" i="4" l="1"/>
  <c r="B35" i="4"/>
  <c r="C35" i="4"/>
  <c r="D34" i="4" l="1"/>
  <c r="B36" i="4"/>
  <c r="C36" i="4"/>
  <c r="D35" i="4" l="1"/>
  <c r="B37" i="4"/>
  <c r="C37" i="4"/>
  <c r="D36" i="4" l="1"/>
  <c r="B38" i="4"/>
  <c r="C38" i="4"/>
  <c r="D37" i="4" l="1"/>
  <c r="B39" i="4"/>
  <c r="C39" i="4"/>
  <c r="D38" i="4" l="1"/>
  <c r="B40" i="4"/>
  <c r="C40" i="4"/>
  <c r="D39" i="4" l="1"/>
  <c r="B41" i="4"/>
  <c r="C41" i="4"/>
  <c r="D40" i="4" l="1"/>
  <c r="B42" i="4"/>
  <c r="C42" i="4"/>
  <c r="D41" i="4" l="1"/>
  <c r="B43" i="4"/>
  <c r="C43" i="4"/>
  <c r="D42" i="4" l="1"/>
  <c r="B44" i="4"/>
  <c r="C44" i="4"/>
  <c r="D43" i="4" l="1"/>
  <c r="B45" i="4"/>
  <c r="C45" i="4"/>
  <c r="D44" i="4" l="1"/>
  <c r="B46" i="4"/>
  <c r="C46" i="4"/>
  <c r="D45" i="4" l="1"/>
  <c r="B47" i="4"/>
  <c r="C47" i="4"/>
  <c r="D46" i="4" l="1"/>
  <c r="B48" i="4"/>
  <c r="C48" i="4"/>
  <c r="D47" i="4" l="1"/>
  <c r="B49" i="4"/>
  <c r="C49" i="4"/>
  <c r="D48" i="4" l="1"/>
  <c r="B50" i="4"/>
  <c r="C50" i="4"/>
  <c r="D49" i="4" l="1"/>
  <c r="B51" i="4"/>
  <c r="C51" i="4"/>
  <c r="D50" i="4" l="1"/>
  <c r="B52" i="4"/>
  <c r="C52" i="4"/>
  <c r="D51" i="4" l="1"/>
  <c r="B53" i="4"/>
  <c r="C53" i="4"/>
  <c r="D52" i="4" l="1"/>
  <c r="B54" i="4"/>
  <c r="C54" i="4"/>
  <c r="D53" i="4" l="1"/>
  <c r="B55" i="4"/>
  <c r="C55" i="4"/>
  <c r="D54" i="4" l="1"/>
  <c r="B56" i="4"/>
  <c r="C56" i="4"/>
  <c r="D55" i="4" l="1"/>
  <c r="B57" i="4"/>
  <c r="C57" i="4"/>
  <c r="D56" i="4" l="1"/>
  <c r="B58" i="4"/>
  <c r="C58" i="4"/>
  <c r="D57" i="4" l="1"/>
  <c r="B59" i="4"/>
  <c r="C59" i="4"/>
  <c r="D58" i="4" l="1"/>
  <c r="B60" i="4"/>
  <c r="C60" i="4"/>
  <c r="D59" i="4" l="1"/>
  <c r="B61" i="4"/>
  <c r="C61" i="4"/>
  <c r="D60" i="4" l="1"/>
  <c r="B62" i="4"/>
  <c r="C62" i="4"/>
  <c r="D61" i="4" l="1"/>
  <c r="B63" i="4"/>
  <c r="C63" i="4"/>
  <c r="D62" i="4" l="1"/>
  <c r="B64" i="4"/>
  <c r="C64" i="4"/>
  <c r="D63" i="4" l="1"/>
  <c r="B65" i="4"/>
  <c r="C65" i="4"/>
  <c r="D64" i="4" l="1"/>
  <c r="B66" i="4"/>
  <c r="C66" i="4"/>
  <c r="D65" i="4" l="1"/>
  <c r="B67" i="4"/>
  <c r="C67" i="4"/>
  <c r="D66" i="4" l="1"/>
  <c r="B68" i="4"/>
  <c r="C68" i="4"/>
  <c r="D67" i="4" l="1"/>
  <c r="B69" i="4"/>
  <c r="C69" i="4"/>
  <c r="D68" i="4" l="1"/>
  <c r="B70" i="4"/>
  <c r="C70" i="4"/>
  <c r="D69" i="4" l="1"/>
  <c r="B71" i="4"/>
  <c r="C71" i="4"/>
  <c r="D70" i="4" l="1"/>
  <c r="B72" i="4"/>
  <c r="C72" i="4"/>
  <c r="D71" i="4" l="1"/>
  <c r="B73" i="4"/>
  <c r="C73" i="4"/>
  <c r="D72" i="4" l="1"/>
  <c r="B74" i="4"/>
  <c r="C74" i="4"/>
  <c r="D73" i="4" l="1"/>
  <c r="B75" i="4"/>
  <c r="C75" i="4"/>
  <c r="D74" i="4" l="1"/>
  <c r="B76" i="4"/>
  <c r="C76" i="4"/>
  <c r="D75" i="4" l="1"/>
  <c r="B77" i="4"/>
  <c r="C77" i="4"/>
  <c r="D76" i="4" l="1"/>
  <c r="B78" i="4"/>
  <c r="C78" i="4"/>
  <c r="D77" i="4" l="1"/>
  <c r="B79" i="4"/>
  <c r="C79" i="4"/>
  <c r="D78" i="4" l="1"/>
  <c r="B80" i="4"/>
  <c r="C80" i="4"/>
  <c r="D79" i="4" l="1"/>
  <c r="B81" i="4"/>
  <c r="C81" i="4"/>
  <c r="D80" i="4" l="1"/>
  <c r="B82" i="4"/>
  <c r="C82" i="4"/>
  <c r="D81" i="4" l="1"/>
  <c r="B83" i="4"/>
  <c r="C83" i="4"/>
  <c r="D82" i="4" l="1"/>
  <c r="B84" i="4"/>
  <c r="C84" i="4"/>
  <c r="D83" i="4" l="1"/>
  <c r="B85" i="4"/>
  <c r="C85" i="4"/>
  <c r="D84" i="4" l="1"/>
  <c r="B86" i="4"/>
  <c r="C86" i="4"/>
  <c r="D85" i="4" l="1"/>
  <c r="B87" i="4"/>
  <c r="C87" i="4"/>
  <c r="D86" i="4" l="1"/>
  <c r="B88" i="4"/>
  <c r="C88" i="4"/>
  <c r="D87" i="4" l="1"/>
  <c r="B89" i="4"/>
  <c r="C89" i="4"/>
  <c r="D88" i="4" l="1"/>
  <c r="B90" i="4"/>
  <c r="C90" i="4"/>
  <c r="D89" i="4" l="1"/>
  <c r="B91" i="4"/>
  <c r="C91" i="4"/>
  <c r="D90" i="4" l="1"/>
  <c r="B92" i="4"/>
  <c r="C92" i="4"/>
  <c r="D91" i="4" l="1"/>
  <c r="B93" i="4"/>
  <c r="C93" i="4"/>
  <c r="D92" i="4" l="1"/>
  <c r="B94" i="4"/>
  <c r="C94" i="4"/>
  <c r="D93" i="4" l="1"/>
  <c r="B95" i="4"/>
  <c r="C95" i="4"/>
  <c r="D94" i="4" l="1"/>
  <c r="B96" i="4"/>
  <c r="C96" i="4"/>
  <c r="D95" i="4" l="1"/>
  <c r="B97" i="4"/>
  <c r="C97" i="4"/>
  <c r="D96" i="4" l="1"/>
  <c r="B98" i="4"/>
  <c r="C98" i="4"/>
  <c r="D97" i="4" l="1"/>
  <c r="B99" i="4"/>
  <c r="C99" i="4"/>
  <c r="D98" i="4" l="1"/>
  <c r="B100" i="4"/>
  <c r="C100" i="4"/>
  <c r="D99" i="4" l="1"/>
  <c r="B101" i="4"/>
  <c r="C101" i="4"/>
  <c r="D100" i="4" l="1"/>
  <c r="B102" i="4"/>
  <c r="C102" i="4"/>
  <c r="D101" i="4" l="1"/>
  <c r="B103" i="4"/>
  <c r="C103" i="4"/>
  <c r="D102" i="4" l="1"/>
  <c r="B104" i="4"/>
  <c r="C104" i="4"/>
  <c r="D103" i="4" l="1"/>
  <c r="B105" i="4"/>
  <c r="C105" i="4"/>
  <c r="D104" i="4" l="1"/>
  <c r="B106" i="4"/>
  <c r="C106" i="4"/>
  <c r="D105" i="4" l="1"/>
  <c r="B107" i="4"/>
  <c r="C107" i="4"/>
  <c r="D106" i="4" l="1"/>
  <c r="B108" i="4"/>
  <c r="C108" i="4"/>
  <c r="D107" i="4" l="1"/>
  <c r="B109" i="4"/>
  <c r="C109" i="4"/>
  <c r="D108" i="4" l="1"/>
  <c r="B110" i="4"/>
  <c r="C110" i="4"/>
  <c r="D109" i="4" l="1"/>
  <c r="B111" i="4"/>
  <c r="C111" i="4"/>
  <c r="D110" i="4" l="1"/>
  <c r="B112" i="4"/>
  <c r="C112" i="4"/>
  <c r="D111" i="4" l="1"/>
  <c r="B113" i="4"/>
  <c r="C113" i="4"/>
  <c r="D112" i="4" l="1"/>
  <c r="B114" i="4"/>
  <c r="C114" i="4"/>
  <c r="D113" i="4" l="1"/>
  <c r="B115" i="4"/>
  <c r="C115" i="4"/>
  <c r="D114" i="4" l="1"/>
  <c r="B116" i="4"/>
  <c r="C116" i="4"/>
  <c r="D115" i="4" l="1"/>
  <c r="B117" i="4"/>
  <c r="C117" i="4"/>
  <c r="D116" i="4" l="1"/>
  <c r="B118" i="4"/>
  <c r="C118" i="4"/>
  <c r="D117" i="4" l="1"/>
  <c r="B119" i="4"/>
  <c r="C119" i="4"/>
  <c r="D118" i="4" l="1"/>
  <c r="B120" i="4"/>
  <c r="C120" i="4"/>
  <c r="D119" i="4" l="1"/>
  <c r="B121" i="4"/>
  <c r="C121" i="4"/>
  <c r="D120" i="4" l="1"/>
  <c r="B122" i="4"/>
  <c r="C122" i="4"/>
  <c r="D121" i="4" l="1"/>
  <c r="B123" i="4"/>
  <c r="C123" i="4"/>
  <c r="D123" i="4" l="1"/>
  <c r="D122" i="4"/>
</calcChain>
</file>

<file path=xl/sharedStrings.xml><?xml version="1.0" encoding="utf-8"?>
<sst xmlns="http://schemas.openxmlformats.org/spreadsheetml/2006/main" count="9090" uniqueCount="2592">
  <si>
    <t>STATION_ID</t>
  </si>
  <si>
    <t>DURATION</t>
  </si>
  <si>
    <t>SENSOR_NUMBER</t>
  </si>
  <si>
    <t>SENSOR_TYPE</t>
  </si>
  <si>
    <t>DATE TIME</t>
  </si>
  <si>
    <t>OBS DATE</t>
  </si>
  <si>
    <t>VALUE</t>
  </si>
  <si>
    <t>DATA_FLAG</t>
  </si>
  <si>
    <t>UNITS</t>
  </si>
  <si>
    <t>TLG</t>
  </si>
  <si>
    <t>M</t>
  </si>
  <si>
    <t>MON FNF</t>
  </si>
  <si>
    <t>19001001 0000</t>
  </si>
  <si>
    <t>19951222 0000</t>
  </si>
  <si>
    <t>AF</t>
  </si>
  <si>
    <t>19001101 0000</t>
  </si>
  <si>
    <t>19001201 0000</t>
  </si>
  <si>
    <t>19010101 0000</t>
  </si>
  <si>
    <t>19010201 0000</t>
  </si>
  <si>
    <t>19010301 0000</t>
  </si>
  <si>
    <t>19010401 0000</t>
  </si>
  <si>
    <t>19010501 0000</t>
  </si>
  <si>
    <t>19010601 0000</t>
  </si>
  <si>
    <t>19010701 0000</t>
  </si>
  <si>
    <t>19010801 0000</t>
  </si>
  <si>
    <t>19010901 0000</t>
  </si>
  <si>
    <t>19011001 0000</t>
  </si>
  <si>
    <t>19011101 0000</t>
  </si>
  <si>
    <t>19011201 0000</t>
  </si>
  <si>
    <t>19020101 0000</t>
  </si>
  <si>
    <t>19020201 0000</t>
  </si>
  <si>
    <t>19020301 0000</t>
  </si>
  <si>
    <t>19020401 0000</t>
  </si>
  <si>
    <t>19020501 0000</t>
  </si>
  <si>
    <t>19020601 0000</t>
  </si>
  <si>
    <t>19020701 0000</t>
  </si>
  <si>
    <t>19020801 0000</t>
  </si>
  <si>
    <t>19020901 0000</t>
  </si>
  <si>
    <t>19021001 0000</t>
  </si>
  <si>
    <t>19021101 0000</t>
  </si>
  <si>
    <t>19021201 0000</t>
  </si>
  <si>
    <t>19030101 0000</t>
  </si>
  <si>
    <t>19030201 0000</t>
  </si>
  <si>
    <t>19030301 0000</t>
  </si>
  <si>
    <t>19030401 0000</t>
  </si>
  <si>
    <t>19030501 0000</t>
  </si>
  <si>
    <t>19030601 0000</t>
  </si>
  <si>
    <t>19030701 0000</t>
  </si>
  <si>
    <t>19030801 0000</t>
  </si>
  <si>
    <t>19030901 0000</t>
  </si>
  <si>
    <t>19031001 0000</t>
  </si>
  <si>
    <t>19031101 0000</t>
  </si>
  <si>
    <t>19031201 0000</t>
  </si>
  <si>
    <t>19040101 0000</t>
  </si>
  <si>
    <t>19040201 0000</t>
  </si>
  <si>
    <t>19040301 0000</t>
  </si>
  <si>
    <t>19040401 0000</t>
  </si>
  <si>
    <t>19040501 0000</t>
  </si>
  <si>
    <t>19040601 0000</t>
  </si>
  <si>
    <t>19040701 0000</t>
  </si>
  <si>
    <t>19040801 0000</t>
  </si>
  <si>
    <t>19040901 0000</t>
  </si>
  <si>
    <t>19041001 0000</t>
  </si>
  <si>
    <t>19041101 0000</t>
  </si>
  <si>
    <t>19041201 0000</t>
  </si>
  <si>
    <t>19050101 0000</t>
  </si>
  <si>
    <t>19050131 0000</t>
  </si>
  <si>
    <t>19050201 0000</t>
  </si>
  <si>
    <t>19050228 0000</t>
  </si>
  <si>
    <t>19050301 0000</t>
  </si>
  <si>
    <t>19050331 0000</t>
  </si>
  <si>
    <t>19050401 0000</t>
  </si>
  <si>
    <t>19050430 0000</t>
  </si>
  <si>
    <t>19050501 0000</t>
  </si>
  <si>
    <t>19050531 0000</t>
  </si>
  <si>
    <t>19050601 0000</t>
  </si>
  <si>
    <t>19050630 0000</t>
  </si>
  <si>
    <t>19050701 0000</t>
  </si>
  <si>
    <t>19050731 0000</t>
  </si>
  <si>
    <t>19050801 0000</t>
  </si>
  <si>
    <t>19050831 0000</t>
  </si>
  <si>
    <t>19050901 0000</t>
  </si>
  <si>
    <t>19050930 0000</t>
  </si>
  <si>
    <t>19051001 0000</t>
  </si>
  <si>
    <t>19051031 0000</t>
  </si>
  <si>
    <t>19051101 0000</t>
  </si>
  <si>
    <t>19051130 0000</t>
  </si>
  <si>
    <t>19051201 0000</t>
  </si>
  <si>
    <t>19051231 0000</t>
  </si>
  <si>
    <t>19060101 0000</t>
  </si>
  <si>
    <t>19060131 0000</t>
  </si>
  <si>
    <t>19060201 0000</t>
  </si>
  <si>
    <t>19060228 0000</t>
  </si>
  <si>
    <t>19060301 0000</t>
  </si>
  <si>
    <t>19060331 0000</t>
  </si>
  <si>
    <t>19060401 0000</t>
  </si>
  <si>
    <t>19060430 0000</t>
  </si>
  <si>
    <t>19060501 0000</t>
  </si>
  <si>
    <t>19060531 0000</t>
  </si>
  <si>
    <t>19060601 0000</t>
  </si>
  <si>
    <t>19060630 0000</t>
  </si>
  <si>
    <t>19060701 0000</t>
  </si>
  <si>
    <t>19060731 0000</t>
  </si>
  <si>
    <t>19060801 0000</t>
  </si>
  <si>
    <t>19060831 0000</t>
  </si>
  <si>
    <t>19060901 0000</t>
  </si>
  <si>
    <t>19060930 0000</t>
  </si>
  <si>
    <t>19061001 0000</t>
  </si>
  <si>
    <t>19061031 0000</t>
  </si>
  <si>
    <t>19061101 0000</t>
  </si>
  <si>
    <t>19061130 0000</t>
  </si>
  <si>
    <t>19061201 0000</t>
  </si>
  <si>
    <t>19061231 0000</t>
  </si>
  <si>
    <t>19070101 0000</t>
  </si>
  <si>
    <t>19070131 0000</t>
  </si>
  <si>
    <t>19070201 0000</t>
  </si>
  <si>
    <t>19070228 0000</t>
  </si>
  <si>
    <t>19070301 0000</t>
  </si>
  <si>
    <t>19070331 0000</t>
  </si>
  <si>
    <t>19070401 0000</t>
  </si>
  <si>
    <t>19070430 0000</t>
  </si>
  <si>
    <t>19070501 0000</t>
  </si>
  <si>
    <t>19070531 0000</t>
  </si>
  <si>
    <t>19070601 0000</t>
  </si>
  <si>
    <t>19070630 0000</t>
  </si>
  <si>
    <t>19070701 0000</t>
  </si>
  <si>
    <t>19070731 0000</t>
  </si>
  <si>
    <t>19070801 0000</t>
  </si>
  <si>
    <t>19070831 0000</t>
  </si>
  <si>
    <t>19070901 0000</t>
  </si>
  <si>
    <t>19070930 0000</t>
  </si>
  <si>
    <t>19071001 0000</t>
  </si>
  <si>
    <t>19071031 0000</t>
  </si>
  <si>
    <t>19071101 0000</t>
  </si>
  <si>
    <t>19071130 0000</t>
  </si>
  <si>
    <t>19071201 0000</t>
  </si>
  <si>
    <t>19071231 0000</t>
  </si>
  <si>
    <t>19080101 0000</t>
  </si>
  <si>
    <t>19080131 0000</t>
  </si>
  <si>
    <t>19080201 0000</t>
  </si>
  <si>
    <t>19080229 0000</t>
  </si>
  <si>
    <t>19080301 0000</t>
  </si>
  <si>
    <t>19080331 0000</t>
  </si>
  <si>
    <t>19080401 0000</t>
  </si>
  <si>
    <t>19080430 0000</t>
  </si>
  <si>
    <t>19080501 0000</t>
  </si>
  <si>
    <t>19080531 0000</t>
  </si>
  <si>
    <t>19080601 0000</t>
  </si>
  <si>
    <t>19080630 0000</t>
  </si>
  <si>
    <t>19080701 0000</t>
  </si>
  <si>
    <t>19080731 0000</t>
  </si>
  <si>
    <t>19080801 0000</t>
  </si>
  <si>
    <t>19080831 0000</t>
  </si>
  <si>
    <t>19080901 0000</t>
  </si>
  <si>
    <t>19080930 0000</t>
  </si>
  <si>
    <t>19081001 0000</t>
  </si>
  <si>
    <t>19081031 0000</t>
  </si>
  <si>
    <t>19081101 0000</t>
  </si>
  <si>
    <t>19081130 0000</t>
  </si>
  <si>
    <t>19081201 0000</t>
  </si>
  <si>
    <t>19081231 0000</t>
  </si>
  <si>
    <t>19090101 0000</t>
  </si>
  <si>
    <t>19090131 0000</t>
  </si>
  <si>
    <t>19090201 0000</t>
  </si>
  <si>
    <t>19090228 0000</t>
  </si>
  <si>
    <t>19090301 0000</t>
  </si>
  <si>
    <t>19090331 0000</t>
  </si>
  <si>
    <t>19090401 0000</t>
  </si>
  <si>
    <t>19090430 0000</t>
  </si>
  <si>
    <t>19090501 0000</t>
  </si>
  <si>
    <t>19090531 0000</t>
  </si>
  <si>
    <t>19090601 0000</t>
  </si>
  <si>
    <t>19090630 0000</t>
  </si>
  <si>
    <t>19090701 0000</t>
  </si>
  <si>
    <t>19090731 0000</t>
  </si>
  <si>
    <t>19090801 0000</t>
  </si>
  <si>
    <t>19090831 0000</t>
  </si>
  <si>
    <t>19090901 0000</t>
  </si>
  <si>
    <t>19090930 0000</t>
  </si>
  <si>
    <t>19091001 0000</t>
  </si>
  <si>
    <t>19091031 0000</t>
  </si>
  <si>
    <t>19091101 0000</t>
  </si>
  <si>
    <t>19091130 0000</t>
  </si>
  <si>
    <t>19091201 0000</t>
  </si>
  <si>
    <t>19091231 0000</t>
  </si>
  <si>
    <t>19100101 0000</t>
  </si>
  <si>
    <t>19100131 0000</t>
  </si>
  <si>
    <t>19100201 0000</t>
  </si>
  <si>
    <t>19100228 0000</t>
  </si>
  <si>
    <t>19100301 0000</t>
  </si>
  <si>
    <t>19100331 0000</t>
  </si>
  <si>
    <t>19100401 0000</t>
  </si>
  <si>
    <t>19100430 0000</t>
  </si>
  <si>
    <t>19100501 0000</t>
  </si>
  <si>
    <t>19100531 0000</t>
  </si>
  <si>
    <t>19100601 0000</t>
  </si>
  <si>
    <t>19100630 0000</t>
  </si>
  <si>
    <t>19100701 0000</t>
  </si>
  <si>
    <t>19100731 0000</t>
  </si>
  <si>
    <t>19100801 0000</t>
  </si>
  <si>
    <t>19100831 0000</t>
  </si>
  <si>
    <t>19100901 0000</t>
  </si>
  <si>
    <t>19100930 0000</t>
  </si>
  <si>
    <t>19101001 0000</t>
  </si>
  <si>
    <t>19101031 0000</t>
  </si>
  <si>
    <t>19101101 0000</t>
  </si>
  <si>
    <t>19101130 0000</t>
  </si>
  <si>
    <t>19101201 0000</t>
  </si>
  <si>
    <t>19101231 0000</t>
  </si>
  <si>
    <t>19110101 0000</t>
  </si>
  <si>
    <t>19110131 0000</t>
  </si>
  <si>
    <t>19110201 0000</t>
  </si>
  <si>
    <t>19110228 0000</t>
  </si>
  <si>
    <t>19110301 0000</t>
  </si>
  <si>
    <t>19110331 0000</t>
  </si>
  <si>
    <t>19110401 0000</t>
  </si>
  <si>
    <t>19110430 0000</t>
  </si>
  <si>
    <t>19110501 0000</t>
  </si>
  <si>
    <t>19110531 0000</t>
  </si>
  <si>
    <t>19110601 0000</t>
  </si>
  <si>
    <t>19110630 0000</t>
  </si>
  <si>
    <t>19110701 0000</t>
  </si>
  <si>
    <t>19110731 0000</t>
  </si>
  <si>
    <t>19110801 0000</t>
  </si>
  <si>
    <t>19110831 0000</t>
  </si>
  <si>
    <t>19110901 0000</t>
  </si>
  <si>
    <t>19110930 0000</t>
  </si>
  <si>
    <t>19111001 0000</t>
  </si>
  <si>
    <t>19111031 0000</t>
  </si>
  <si>
    <t>19111101 0000</t>
  </si>
  <si>
    <t>19111130 0000</t>
  </si>
  <si>
    <t>19111201 0000</t>
  </si>
  <si>
    <t>19111231 0000</t>
  </si>
  <si>
    <t>19120101 0000</t>
  </si>
  <si>
    <t>19120131 0000</t>
  </si>
  <si>
    <t>19120201 0000</t>
  </si>
  <si>
    <t>19120229 0000</t>
  </si>
  <si>
    <t>19120301 0000</t>
  </si>
  <si>
    <t>19120331 0000</t>
  </si>
  <si>
    <t>19120401 0000</t>
  </si>
  <si>
    <t>19120430 0000</t>
  </si>
  <si>
    <t>19120501 0000</t>
  </si>
  <si>
    <t>19120531 0000</t>
  </si>
  <si>
    <t>19120601 0000</t>
  </si>
  <si>
    <t>19120630 0000</t>
  </si>
  <si>
    <t>19120701 0000</t>
  </si>
  <si>
    <t>19120731 0000</t>
  </si>
  <si>
    <t>19120801 0000</t>
  </si>
  <si>
    <t>19120831 0000</t>
  </si>
  <si>
    <t>19120901 0000</t>
  </si>
  <si>
    <t>19120930 0000</t>
  </si>
  <si>
    <t>19121001 0000</t>
  </si>
  <si>
    <t>19121031 0000</t>
  </si>
  <si>
    <t>19121101 0000</t>
  </si>
  <si>
    <t>19121130 0000</t>
  </si>
  <si>
    <t>19121201 0000</t>
  </si>
  <si>
    <t>19121231 0000</t>
  </si>
  <si>
    <t>19130101 0000</t>
  </si>
  <si>
    <t>19130131 0000</t>
  </si>
  <si>
    <t>19130201 0000</t>
  </si>
  <si>
    <t>19130228 0000</t>
  </si>
  <si>
    <t>19130301 0000</t>
  </si>
  <si>
    <t>19130331 0000</t>
  </si>
  <si>
    <t>19130401 0000</t>
  </si>
  <si>
    <t>19130430 0000</t>
  </si>
  <si>
    <t>19130501 0000</t>
  </si>
  <si>
    <t>19130531 0000</t>
  </si>
  <si>
    <t>19130601 0000</t>
  </si>
  <si>
    <t>19130630 0000</t>
  </si>
  <si>
    <t>19130701 0000</t>
  </si>
  <si>
    <t>19130731 0000</t>
  </si>
  <si>
    <t>19130801 0000</t>
  </si>
  <si>
    <t>19130831 0000</t>
  </si>
  <si>
    <t>19130901 0000</t>
  </si>
  <si>
    <t>19130930 0000</t>
  </si>
  <si>
    <t>19131001 0000</t>
  </si>
  <si>
    <t>19131031 0000</t>
  </si>
  <si>
    <t>19131101 0000</t>
  </si>
  <si>
    <t>19131130 0000</t>
  </si>
  <si>
    <t>19131201 0000</t>
  </si>
  <si>
    <t>19131231 0000</t>
  </si>
  <si>
    <t>19140101 0000</t>
  </si>
  <si>
    <t>19140131 0000</t>
  </si>
  <si>
    <t>19140201 0000</t>
  </si>
  <si>
    <t>19140228 0000</t>
  </si>
  <si>
    <t>19140301 0000</t>
  </si>
  <si>
    <t>19140331 0000</t>
  </si>
  <si>
    <t>19140401 0000</t>
  </si>
  <si>
    <t>19140430 0000</t>
  </si>
  <si>
    <t>19140501 0000</t>
  </si>
  <si>
    <t>19140531 0000</t>
  </si>
  <si>
    <t>19140601 0000</t>
  </si>
  <si>
    <t>19140630 0000</t>
  </si>
  <si>
    <t>19140701 0000</t>
  </si>
  <si>
    <t>19140731 0000</t>
  </si>
  <si>
    <t>19140801 0000</t>
  </si>
  <si>
    <t>19140831 0000</t>
  </si>
  <si>
    <t>19140901 0000</t>
  </si>
  <si>
    <t>19140930 0000</t>
  </si>
  <si>
    <t>19141001 0000</t>
  </si>
  <si>
    <t>19141031 0000</t>
  </si>
  <si>
    <t>19141101 0000</t>
  </si>
  <si>
    <t>19141130 0000</t>
  </si>
  <si>
    <t>19141201 0000</t>
  </si>
  <si>
    <t>19141231 0000</t>
  </si>
  <si>
    <t>19150101 0000</t>
  </si>
  <si>
    <t>19150131 0000</t>
  </si>
  <si>
    <t>19150201 0000</t>
  </si>
  <si>
    <t>19150228 0000</t>
  </si>
  <si>
    <t>19150301 0000</t>
  </si>
  <si>
    <t>19150331 0000</t>
  </si>
  <si>
    <t>19150401 0000</t>
  </si>
  <si>
    <t>19150430 0000</t>
  </si>
  <si>
    <t>19150501 0000</t>
  </si>
  <si>
    <t>19150531 0000</t>
  </si>
  <si>
    <t>19150601 0000</t>
  </si>
  <si>
    <t>19150630 0000</t>
  </si>
  <si>
    <t>19150701 0000</t>
  </si>
  <si>
    <t>19150731 0000</t>
  </si>
  <si>
    <t>19150801 0000</t>
  </si>
  <si>
    <t>19150831 0000</t>
  </si>
  <si>
    <t>19150901 0000</t>
  </si>
  <si>
    <t>19150930 0000</t>
  </si>
  <si>
    <t>19151001 0000</t>
  </si>
  <si>
    <t>19151031 0000</t>
  </si>
  <si>
    <t>19151101 0000</t>
  </si>
  <si>
    <t>19151130 0000</t>
  </si>
  <si>
    <t>19151201 0000</t>
  </si>
  <si>
    <t>19151231 0000</t>
  </si>
  <si>
    <t>19160101 0000</t>
  </si>
  <si>
    <t>19160131 0000</t>
  </si>
  <si>
    <t>19160201 0000</t>
  </si>
  <si>
    <t>19160229 0000</t>
  </si>
  <si>
    <t>19160301 0000</t>
  </si>
  <si>
    <t>19160331 0000</t>
  </si>
  <si>
    <t>19160401 0000</t>
  </si>
  <si>
    <t>19160430 0000</t>
  </si>
  <si>
    <t>19160501 0000</t>
  </si>
  <si>
    <t>19160531 0000</t>
  </si>
  <si>
    <t>19160601 0000</t>
  </si>
  <si>
    <t>19160630 0000</t>
  </si>
  <si>
    <t>19160701 0000</t>
  </si>
  <si>
    <t>19160731 0000</t>
  </si>
  <si>
    <t>19160801 0000</t>
  </si>
  <si>
    <t>19160831 0000</t>
  </si>
  <si>
    <t>19160901 0000</t>
  </si>
  <si>
    <t>19160930 0000</t>
  </si>
  <si>
    <t>19161001 0000</t>
  </si>
  <si>
    <t>19161031 0000</t>
  </si>
  <si>
    <t>19161101 0000</t>
  </si>
  <si>
    <t>19161130 0000</t>
  </si>
  <si>
    <t>19161201 0000</t>
  </si>
  <si>
    <t>19161231 0000</t>
  </si>
  <si>
    <t>19170101 0000</t>
  </si>
  <si>
    <t>19170131 0000</t>
  </si>
  <si>
    <t>19170201 0000</t>
  </si>
  <si>
    <t>19170228 0000</t>
  </si>
  <si>
    <t>19170301 0000</t>
  </si>
  <si>
    <t>19170331 0000</t>
  </si>
  <si>
    <t>19170401 0000</t>
  </si>
  <si>
    <t>19170430 0000</t>
  </si>
  <si>
    <t>19170501 0000</t>
  </si>
  <si>
    <t>19170531 0000</t>
  </si>
  <si>
    <t>19170601 0000</t>
  </si>
  <si>
    <t>19170630 0000</t>
  </si>
  <si>
    <t>19170701 0000</t>
  </si>
  <si>
    <t>19170731 0000</t>
  </si>
  <si>
    <t>19170801 0000</t>
  </si>
  <si>
    <t>19170831 0000</t>
  </si>
  <si>
    <t>19170901 0000</t>
  </si>
  <si>
    <t>19170930 0000</t>
  </si>
  <si>
    <t>19171001 0000</t>
  </si>
  <si>
    <t>19171031 0000</t>
  </si>
  <si>
    <t>19171101 0000</t>
  </si>
  <si>
    <t>19171130 0000</t>
  </si>
  <si>
    <t>19171201 0000</t>
  </si>
  <si>
    <t>19171231 0000</t>
  </si>
  <si>
    <t>19180101 0000</t>
  </si>
  <si>
    <t>19180131 0000</t>
  </si>
  <si>
    <t>19180201 0000</t>
  </si>
  <si>
    <t>19180228 0000</t>
  </si>
  <si>
    <t>19180301 0000</t>
  </si>
  <si>
    <t>19180331 0000</t>
  </si>
  <si>
    <t>19180401 0000</t>
  </si>
  <si>
    <t>19180430 0000</t>
  </si>
  <si>
    <t>19180501 0000</t>
  </si>
  <si>
    <t>19180531 0000</t>
  </si>
  <si>
    <t>19180601 0000</t>
  </si>
  <si>
    <t>19180630 0000</t>
  </si>
  <si>
    <t>19180701 0000</t>
  </si>
  <si>
    <t>19180731 0000</t>
  </si>
  <si>
    <t>19180801 0000</t>
  </si>
  <si>
    <t>19180831 0000</t>
  </si>
  <si>
    <t>19180901 0000</t>
  </si>
  <si>
    <t>19180930 0000</t>
  </si>
  <si>
    <t>19181001 0000</t>
  </si>
  <si>
    <t>19181031 0000</t>
  </si>
  <si>
    <t>19181101 0000</t>
  </si>
  <si>
    <t>19181130 0000</t>
  </si>
  <si>
    <t>19181201 0000</t>
  </si>
  <si>
    <t>19181231 0000</t>
  </si>
  <si>
    <t>19190101 0000</t>
  </si>
  <si>
    <t>19190131 0000</t>
  </si>
  <si>
    <t>19190201 0000</t>
  </si>
  <si>
    <t>19190228 0000</t>
  </si>
  <si>
    <t>19190301 0000</t>
  </si>
  <si>
    <t>19190331 0000</t>
  </si>
  <si>
    <t>19190401 0000</t>
  </si>
  <si>
    <t>19190430 0000</t>
  </si>
  <si>
    <t>19190501 0000</t>
  </si>
  <si>
    <t>19190531 0000</t>
  </si>
  <si>
    <t>19190601 0000</t>
  </si>
  <si>
    <t>19190630 0000</t>
  </si>
  <si>
    <t>19190701 0000</t>
  </si>
  <si>
    <t>19190731 0000</t>
  </si>
  <si>
    <t>19190801 0000</t>
  </si>
  <si>
    <t>19190831 0000</t>
  </si>
  <si>
    <t>19190901 0000</t>
  </si>
  <si>
    <t>19190930 0000</t>
  </si>
  <si>
    <t>19191001 0000</t>
  </si>
  <si>
    <t>19191031 0000</t>
  </si>
  <si>
    <t>19191101 0000</t>
  </si>
  <si>
    <t>19191130 0000</t>
  </si>
  <si>
    <t>19191201 0000</t>
  </si>
  <si>
    <t>19191231 0000</t>
  </si>
  <si>
    <t>19200101 0000</t>
  </si>
  <si>
    <t>19200131 0000</t>
  </si>
  <si>
    <t>19200201 0000</t>
  </si>
  <si>
    <t>19200229 0000</t>
  </si>
  <si>
    <t>19200301 0000</t>
  </si>
  <si>
    <t>19200331 0000</t>
  </si>
  <si>
    <t>19200401 0000</t>
  </si>
  <si>
    <t>19200430 0000</t>
  </si>
  <si>
    <t>19200501 0000</t>
  </si>
  <si>
    <t>19200531 0000</t>
  </si>
  <si>
    <t>19200601 0000</t>
  </si>
  <si>
    <t>19200630 0000</t>
  </si>
  <si>
    <t>19200701 0000</t>
  </si>
  <si>
    <t>19200731 0000</t>
  </si>
  <si>
    <t>19200801 0000</t>
  </si>
  <si>
    <t>19200831 0000</t>
  </si>
  <si>
    <t>19200901 0000</t>
  </si>
  <si>
    <t>19200930 0000</t>
  </si>
  <si>
    <t>19201001 0000</t>
  </si>
  <si>
    <t>19201031 0000</t>
  </si>
  <si>
    <t>19201101 0000</t>
  </si>
  <si>
    <t>19201130 0000</t>
  </si>
  <si>
    <t>19201201 0000</t>
  </si>
  <si>
    <t>19201231 0000</t>
  </si>
  <si>
    <t>19210101 0000</t>
  </si>
  <si>
    <t>19210131 0000</t>
  </si>
  <si>
    <t>19210201 0000</t>
  </si>
  <si>
    <t>19210228 0000</t>
  </si>
  <si>
    <t>19210301 0000</t>
  </si>
  <si>
    <t>19210331 0000</t>
  </si>
  <si>
    <t>19210401 0000</t>
  </si>
  <si>
    <t>19210430 0000</t>
  </si>
  <si>
    <t>19210501 0000</t>
  </si>
  <si>
    <t>19210531 0000</t>
  </si>
  <si>
    <t>19210601 0000</t>
  </si>
  <si>
    <t>19210630 0000</t>
  </si>
  <si>
    <t>19210701 0000</t>
  </si>
  <si>
    <t>19210731 0000</t>
  </si>
  <si>
    <t>19210801 0000</t>
  </si>
  <si>
    <t>19210831 0000</t>
  </si>
  <si>
    <t>19210901 0000</t>
  </si>
  <si>
    <t>19210930 0000</t>
  </si>
  <si>
    <t>19211001 0000</t>
  </si>
  <si>
    <t>19211031 0000</t>
  </si>
  <si>
    <t>19211101 0000</t>
  </si>
  <si>
    <t>19211130 0000</t>
  </si>
  <si>
    <t>19211201 0000</t>
  </si>
  <si>
    <t>19211231 0000</t>
  </si>
  <si>
    <t>19220101 0000</t>
  </si>
  <si>
    <t>19220131 0000</t>
  </si>
  <si>
    <t>19220201 0000</t>
  </si>
  <si>
    <t>19220228 0000</t>
  </si>
  <si>
    <t>19220301 0000</t>
  </si>
  <si>
    <t>19220331 0000</t>
  </si>
  <si>
    <t>19220401 0000</t>
  </si>
  <si>
    <t>19220430 0000</t>
  </si>
  <si>
    <t>19220501 0000</t>
  </si>
  <si>
    <t>19220531 0000</t>
  </si>
  <si>
    <t>19220601 0000</t>
  </si>
  <si>
    <t>19220630 0000</t>
  </si>
  <si>
    <t>19220701 0000</t>
  </si>
  <si>
    <t>19220731 0000</t>
  </si>
  <si>
    <t>19220801 0000</t>
  </si>
  <si>
    <t>19220831 0000</t>
  </si>
  <si>
    <t>19220901 0000</t>
  </si>
  <si>
    <t>19220930 0000</t>
  </si>
  <si>
    <t>19221001 0000</t>
  </si>
  <si>
    <t>19221031 0000</t>
  </si>
  <si>
    <t>19221101 0000</t>
  </si>
  <si>
    <t>19221130 0000</t>
  </si>
  <si>
    <t>19221201 0000</t>
  </si>
  <si>
    <t>19221231 0000</t>
  </si>
  <si>
    <t>19230101 0000</t>
  </si>
  <si>
    <t>19230131 0000</t>
  </si>
  <si>
    <t>19230201 0000</t>
  </si>
  <si>
    <t>19230228 0000</t>
  </si>
  <si>
    <t>19230301 0000</t>
  </si>
  <si>
    <t>19230331 0000</t>
  </si>
  <si>
    <t>19230401 0000</t>
  </si>
  <si>
    <t>19230430 0000</t>
  </si>
  <si>
    <t>19230501 0000</t>
  </si>
  <si>
    <t>19230531 0000</t>
  </si>
  <si>
    <t>19230601 0000</t>
  </si>
  <si>
    <t>19230630 0000</t>
  </si>
  <si>
    <t>19230701 0000</t>
  </si>
  <si>
    <t>19230731 0000</t>
  </si>
  <si>
    <t>19230801 0000</t>
  </si>
  <si>
    <t>19230831 0000</t>
  </si>
  <si>
    <t>19230901 0000</t>
  </si>
  <si>
    <t>19230930 0000</t>
  </si>
  <si>
    <t>19231001 0000</t>
  </si>
  <si>
    <t>19231031 0000</t>
  </si>
  <si>
    <t>19231101 0000</t>
  </si>
  <si>
    <t>19231130 0000</t>
  </si>
  <si>
    <t>19231201 0000</t>
  </si>
  <si>
    <t>19231231 0000</t>
  </si>
  <si>
    <t>19240101 0000</t>
  </si>
  <si>
    <t>19240131 0000</t>
  </si>
  <si>
    <t>19240201 0000</t>
  </si>
  <si>
    <t>19240229 0000</t>
  </si>
  <si>
    <t>19240301 0000</t>
  </si>
  <si>
    <t>19240331 0000</t>
  </si>
  <si>
    <t>19240401 0000</t>
  </si>
  <si>
    <t>19240430 0000</t>
  </si>
  <si>
    <t>19240501 0000</t>
  </si>
  <si>
    <t>19240531 0000</t>
  </si>
  <si>
    <t>19240601 0000</t>
  </si>
  <si>
    <t>19240630 0000</t>
  </si>
  <si>
    <t>19240701 0000</t>
  </si>
  <si>
    <t>19240731 0000</t>
  </si>
  <si>
    <t>19240801 0000</t>
  </si>
  <si>
    <t>19240831 0000</t>
  </si>
  <si>
    <t>19240901 0000</t>
  </si>
  <si>
    <t>19240930 0000</t>
  </si>
  <si>
    <t>19241001 0000</t>
  </si>
  <si>
    <t>19241031 0000</t>
  </si>
  <si>
    <t>19241101 0000</t>
  </si>
  <si>
    <t>19241130 0000</t>
  </si>
  <si>
    <t>19241201 0000</t>
  </si>
  <si>
    <t>19241231 0000</t>
  </si>
  <si>
    <t>19250101 0000</t>
  </si>
  <si>
    <t>19250131 0000</t>
  </si>
  <si>
    <t>19250201 0000</t>
  </si>
  <si>
    <t>19250228 0000</t>
  </si>
  <si>
    <t>19250301 0000</t>
  </si>
  <si>
    <t>19250331 0000</t>
  </si>
  <si>
    <t>19250401 0000</t>
  </si>
  <si>
    <t>19250430 0000</t>
  </si>
  <si>
    <t>19250501 0000</t>
  </si>
  <si>
    <t>19250531 0000</t>
  </si>
  <si>
    <t>19250601 0000</t>
  </si>
  <si>
    <t>19250630 0000</t>
  </si>
  <si>
    <t>19250701 0000</t>
  </si>
  <si>
    <t>19250731 0000</t>
  </si>
  <si>
    <t>19250801 0000</t>
  </si>
  <si>
    <t>19250831 0000</t>
  </si>
  <si>
    <t>19250901 0000</t>
  </si>
  <si>
    <t>19250930 0000</t>
  </si>
  <si>
    <t>19251001 0000</t>
  </si>
  <si>
    <t>19251031 0000</t>
  </si>
  <si>
    <t>19251101 0000</t>
  </si>
  <si>
    <t>19251130 0000</t>
  </si>
  <si>
    <t>19251201 0000</t>
  </si>
  <si>
    <t>19251231 0000</t>
  </si>
  <si>
    <t>19260101 0000</t>
  </si>
  <si>
    <t>19260131 0000</t>
  </si>
  <si>
    <t>19260201 0000</t>
  </si>
  <si>
    <t>19260228 0000</t>
  </si>
  <si>
    <t>19260301 0000</t>
  </si>
  <si>
    <t>19260331 0000</t>
  </si>
  <si>
    <t>19260401 0000</t>
  </si>
  <si>
    <t>19260430 0000</t>
  </si>
  <si>
    <t>19260501 0000</t>
  </si>
  <si>
    <t>19260531 0000</t>
  </si>
  <si>
    <t>19260601 0000</t>
  </si>
  <si>
    <t>19260630 0000</t>
  </si>
  <si>
    <t>19260701 0000</t>
  </si>
  <si>
    <t>19260731 0000</t>
  </si>
  <si>
    <t>19260801 0000</t>
  </si>
  <si>
    <t>19260831 0000</t>
  </si>
  <si>
    <t>19260901 0000</t>
  </si>
  <si>
    <t>19260930 0000</t>
  </si>
  <si>
    <t>19261001 0000</t>
  </si>
  <si>
    <t>19261031 0000</t>
  </si>
  <si>
    <t>19261101 0000</t>
  </si>
  <si>
    <t>19261130 0000</t>
  </si>
  <si>
    <t>19261201 0000</t>
  </si>
  <si>
    <t>19261231 0000</t>
  </si>
  <si>
    <t>19270101 0000</t>
  </si>
  <si>
    <t>19270131 0000</t>
  </si>
  <si>
    <t>19270201 0000</t>
  </si>
  <si>
    <t>19270228 0000</t>
  </si>
  <si>
    <t>19270301 0000</t>
  </si>
  <si>
    <t>19270331 0000</t>
  </si>
  <si>
    <t>19270401 0000</t>
  </si>
  <si>
    <t>19270430 0000</t>
  </si>
  <si>
    <t>19270501 0000</t>
  </si>
  <si>
    <t>19270531 0000</t>
  </si>
  <si>
    <t>19270601 0000</t>
  </si>
  <si>
    <t>19270630 0000</t>
  </si>
  <si>
    <t>19270701 0000</t>
  </si>
  <si>
    <t>19270731 0000</t>
  </si>
  <si>
    <t>19270801 0000</t>
  </si>
  <si>
    <t>19270831 0000</t>
  </si>
  <si>
    <t>19270901 0000</t>
  </si>
  <si>
    <t>19270930 0000</t>
  </si>
  <si>
    <t>19271001 0000</t>
  </si>
  <si>
    <t>19271031 0000</t>
  </si>
  <si>
    <t>19271101 0000</t>
  </si>
  <si>
    <t>19271130 0000</t>
  </si>
  <si>
    <t>19271201 0000</t>
  </si>
  <si>
    <t>19271231 0000</t>
  </si>
  <si>
    <t>19280101 0000</t>
  </si>
  <si>
    <t>19280131 0000</t>
  </si>
  <si>
    <t>19280201 0000</t>
  </si>
  <si>
    <t>19280229 0000</t>
  </si>
  <si>
    <t>19280301 0000</t>
  </si>
  <si>
    <t>19280331 0000</t>
  </si>
  <si>
    <t>19280401 0000</t>
  </si>
  <si>
    <t>19280430 0000</t>
  </si>
  <si>
    <t>19280501 0000</t>
  </si>
  <si>
    <t>19280531 0000</t>
  </si>
  <si>
    <t>19280601 0000</t>
  </si>
  <si>
    <t>19280630 0000</t>
  </si>
  <si>
    <t>19280701 0000</t>
  </si>
  <si>
    <t>19280731 0000</t>
  </si>
  <si>
    <t>19280801 0000</t>
  </si>
  <si>
    <t>19280831 0000</t>
  </si>
  <si>
    <t>19280901 0000</t>
  </si>
  <si>
    <t>19280930 0000</t>
  </si>
  <si>
    <t>19281001 0000</t>
  </si>
  <si>
    <t>19281031 0000</t>
  </si>
  <si>
    <t>19281101 0000</t>
  </si>
  <si>
    <t>19281130 0000</t>
  </si>
  <si>
    <t>19281201 0000</t>
  </si>
  <si>
    <t>19281231 0000</t>
  </si>
  <si>
    <t>19290101 0000</t>
  </si>
  <si>
    <t>19290131 0000</t>
  </si>
  <si>
    <t>19290201 0000</t>
  </si>
  <si>
    <t>19290228 0000</t>
  </si>
  <si>
    <t>19290301 0000</t>
  </si>
  <si>
    <t>19290331 0000</t>
  </si>
  <si>
    <t>19290401 0000</t>
  </si>
  <si>
    <t>19290430 0000</t>
  </si>
  <si>
    <t>19290501 0000</t>
  </si>
  <si>
    <t>19290531 0000</t>
  </si>
  <si>
    <t>19290601 0000</t>
  </si>
  <si>
    <t>19290630 0000</t>
  </si>
  <si>
    <t>19290701 0000</t>
  </si>
  <si>
    <t>19290731 0000</t>
  </si>
  <si>
    <t>19290801 0000</t>
  </si>
  <si>
    <t>19290831 0000</t>
  </si>
  <si>
    <t>19290901 0000</t>
  </si>
  <si>
    <t>19290930 0000</t>
  </si>
  <si>
    <t>19291001 0000</t>
  </si>
  <si>
    <t>19291031 0000</t>
  </si>
  <si>
    <t>19291101 0000</t>
  </si>
  <si>
    <t>19291130 0000</t>
  </si>
  <si>
    <t>19291201 0000</t>
  </si>
  <si>
    <t>19291231 0000</t>
  </si>
  <si>
    <t>19300101 0000</t>
  </si>
  <si>
    <t>19300131 0000</t>
  </si>
  <si>
    <t>19300201 0000</t>
  </si>
  <si>
    <t>19300228 0000</t>
  </si>
  <si>
    <t>19300301 0000</t>
  </si>
  <si>
    <t>19300331 0000</t>
  </si>
  <si>
    <t>19300401 0000</t>
  </si>
  <si>
    <t>19300430 0000</t>
  </si>
  <si>
    <t>19300501 0000</t>
  </si>
  <si>
    <t>19300531 0000</t>
  </si>
  <si>
    <t>19300601 0000</t>
  </si>
  <si>
    <t>19300630 0000</t>
  </si>
  <si>
    <t>19300701 0000</t>
  </si>
  <si>
    <t>19300731 0000</t>
  </si>
  <si>
    <t>19300801 0000</t>
  </si>
  <si>
    <t>19300831 0000</t>
  </si>
  <si>
    <t>19300901 0000</t>
  </si>
  <si>
    <t>19300930 0000</t>
  </si>
  <si>
    <t>19301001 0000</t>
  </si>
  <si>
    <t>19301031 0000</t>
  </si>
  <si>
    <t>19301101 0000</t>
  </si>
  <si>
    <t>19301130 0000</t>
  </si>
  <si>
    <t>19301201 0000</t>
  </si>
  <si>
    <t>19301231 0000</t>
  </si>
  <si>
    <t>19310101 0000</t>
  </si>
  <si>
    <t>19310131 0000</t>
  </si>
  <si>
    <t>19310201 0000</t>
  </si>
  <si>
    <t>19310228 0000</t>
  </si>
  <si>
    <t>19310301 0000</t>
  </si>
  <si>
    <t>19310331 0000</t>
  </si>
  <si>
    <t>19310401 0000</t>
  </si>
  <si>
    <t>19310430 0000</t>
  </si>
  <si>
    <t>19310501 0000</t>
  </si>
  <si>
    <t>19310531 0000</t>
  </si>
  <si>
    <t>19310601 0000</t>
  </si>
  <si>
    <t>19310630 0000</t>
  </si>
  <si>
    <t>19310701 0000</t>
  </si>
  <si>
    <t>19310731 0000</t>
  </si>
  <si>
    <t>19310801 0000</t>
  </si>
  <si>
    <t>19310831 0000</t>
  </si>
  <si>
    <t>19310901 0000</t>
  </si>
  <si>
    <t>19310930 0000</t>
  </si>
  <si>
    <t>19311001 0000</t>
  </si>
  <si>
    <t>19311031 0000</t>
  </si>
  <si>
    <t>19311101 0000</t>
  </si>
  <si>
    <t>19311130 0000</t>
  </si>
  <si>
    <t>19311201 0000</t>
  </si>
  <si>
    <t>19311231 0000</t>
  </si>
  <si>
    <t>19320101 0000</t>
  </si>
  <si>
    <t>19320131 0000</t>
  </si>
  <si>
    <t>19320201 0000</t>
  </si>
  <si>
    <t>19320229 0000</t>
  </si>
  <si>
    <t>19320301 0000</t>
  </si>
  <si>
    <t>19320331 0000</t>
  </si>
  <si>
    <t>19320401 0000</t>
  </si>
  <si>
    <t>19320430 0000</t>
  </si>
  <si>
    <t>19320501 0000</t>
  </si>
  <si>
    <t>19320531 0000</t>
  </si>
  <si>
    <t>19320601 0000</t>
  </si>
  <si>
    <t>19320630 0000</t>
  </si>
  <si>
    <t>19320701 0000</t>
  </si>
  <si>
    <t>19320731 0000</t>
  </si>
  <si>
    <t>19320801 0000</t>
  </si>
  <si>
    <t>19320831 0000</t>
  </si>
  <si>
    <t>19320901 0000</t>
  </si>
  <si>
    <t>19320930 0000</t>
  </si>
  <si>
    <t>19321001 0000</t>
  </si>
  <si>
    <t>19321031 0000</t>
  </si>
  <si>
    <t>19321101 0000</t>
  </si>
  <si>
    <t>19321130 0000</t>
  </si>
  <si>
    <t>19321201 0000</t>
  </si>
  <si>
    <t>19321231 0000</t>
  </si>
  <si>
    <t>19330101 0000</t>
  </si>
  <si>
    <t>19330131 0000</t>
  </si>
  <si>
    <t>19330201 0000</t>
  </si>
  <si>
    <t>19330228 0000</t>
  </si>
  <si>
    <t>19330301 0000</t>
  </si>
  <si>
    <t>19330331 0000</t>
  </si>
  <si>
    <t>19330401 0000</t>
  </si>
  <si>
    <t>19330430 0000</t>
  </si>
  <si>
    <t>19330501 0000</t>
  </si>
  <si>
    <t>19330531 0000</t>
  </si>
  <si>
    <t>19330601 0000</t>
  </si>
  <si>
    <t>19330630 0000</t>
  </si>
  <si>
    <t>19330701 0000</t>
  </si>
  <si>
    <t>19330731 0000</t>
  </si>
  <si>
    <t>19330801 0000</t>
  </si>
  <si>
    <t>19330831 0000</t>
  </si>
  <si>
    <t>19330901 0000</t>
  </si>
  <si>
    <t>19330930 0000</t>
  </si>
  <si>
    <t>19331001 0000</t>
  </si>
  <si>
    <t>19331031 0000</t>
  </si>
  <si>
    <t>19331101 0000</t>
  </si>
  <si>
    <t>19331130 0000</t>
  </si>
  <si>
    <t>19331201 0000</t>
  </si>
  <si>
    <t>19331231 0000</t>
  </si>
  <si>
    <t>19340101 0000</t>
  </si>
  <si>
    <t>19340131 0000</t>
  </si>
  <si>
    <t>19340201 0000</t>
  </si>
  <si>
    <t>19340228 0000</t>
  </si>
  <si>
    <t>19340301 0000</t>
  </si>
  <si>
    <t>19340331 0000</t>
  </si>
  <si>
    <t>19340401 0000</t>
  </si>
  <si>
    <t>19340430 0000</t>
  </si>
  <si>
    <t>19340501 0000</t>
  </si>
  <si>
    <t>19340531 0000</t>
  </si>
  <si>
    <t>19340601 0000</t>
  </si>
  <si>
    <t>19340630 0000</t>
  </si>
  <si>
    <t>19340701 0000</t>
  </si>
  <si>
    <t>19340731 0000</t>
  </si>
  <si>
    <t>19340801 0000</t>
  </si>
  <si>
    <t>19340831 0000</t>
  </si>
  <si>
    <t>19340901 0000</t>
  </si>
  <si>
    <t>19340930 0000</t>
  </si>
  <si>
    <t>19341001 0000</t>
  </si>
  <si>
    <t>19341031 0000</t>
  </si>
  <si>
    <t>19341101 0000</t>
  </si>
  <si>
    <t>19341130 0000</t>
  </si>
  <si>
    <t>19341201 0000</t>
  </si>
  <si>
    <t>19341231 0000</t>
  </si>
  <si>
    <t>19350101 0000</t>
  </si>
  <si>
    <t>19350131 0000</t>
  </si>
  <si>
    <t>19350201 0000</t>
  </si>
  <si>
    <t>19350228 0000</t>
  </si>
  <si>
    <t>19350301 0000</t>
  </si>
  <si>
    <t>19350331 0000</t>
  </si>
  <si>
    <t>19350401 0000</t>
  </si>
  <si>
    <t>19350430 0000</t>
  </si>
  <si>
    <t>19350501 0000</t>
  </si>
  <si>
    <t>19350531 0000</t>
  </si>
  <si>
    <t>19350601 0000</t>
  </si>
  <si>
    <t>19350630 0000</t>
  </si>
  <si>
    <t>19350701 0000</t>
  </si>
  <si>
    <t>19350731 0000</t>
  </si>
  <si>
    <t>19350801 0000</t>
  </si>
  <si>
    <t>19350831 0000</t>
  </si>
  <si>
    <t>19350901 0000</t>
  </si>
  <si>
    <t>19350930 0000</t>
  </si>
  <si>
    <t>19351001 0000</t>
  </si>
  <si>
    <t>19351031 0000</t>
  </si>
  <si>
    <t>19351101 0000</t>
  </si>
  <si>
    <t>19351130 0000</t>
  </si>
  <si>
    <t>19351201 0000</t>
  </si>
  <si>
    <t>19351231 0000</t>
  </si>
  <si>
    <t>19360101 0000</t>
  </si>
  <si>
    <t>19360131 0000</t>
  </si>
  <si>
    <t>19360201 0000</t>
  </si>
  <si>
    <t>19360229 0000</t>
  </si>
  <si>
    <t>19360301 0000</t>
  </si>
  <si>
    <t>19360331 0000</t>
  </si>
  <si>
    <t>19360401 0000</t>
  </si>
  <si>
    <t>19360430 0000</t>
  </si>
  <si>
    <t>19360501 0000</t>
  </si>
  <si>
    <t>19360531 0000</t>
  </si>
  <si>
    <t>19360601 0000</t>
  </si>
  <si>
    <t>19360630 0000</t>
  </si>
  <si>
    <t>19360701 0000</t>
  </si>
  <si>
    <t>19360731 0000</t>
  </si>
  <si>
    <t>19360801 0000</t>
  </si>
  <si>
    <t>19360831 0000</t>
  </si>
  <si>
    <t>19360901 0000</t>
  </si>
  <si>
    <t>19360930 0000</t>
  </si>
  <si>
    <t>19361001 0000</t>
  </si>
  <si>
    <t>19361031 0000</t>
  </si>
  <si>
    <t>19361101 0000</t>
  </si>
  <si>
    <t>19361130 0000</t>
  </si>
  <si>
    <t>19361201 0000</t>
  </si>
  <si>
    <t>19361231 0000</t>
  </si>
  <si>
    <t>19370101 0000</t>
  </si>
  <si>
    <t>19370131 0000</t>
  </si>
  <si>
    <t>19370201 0000</t>
  </si>
  <si>
    <t>19370228 0000</t>
  </si>
  <si>
    <t>19370301 0000</t>
  </si>
  <si>
    <t>19370331 0000</t>
  </si>
  <si>
    <t>19370401 0000</t>
  </si>
  <si>
    <t>19370430 0000</t>
  </si>
  <si>
    <t>19370501 0000</t>
  </si>
  <si>
    <t>19370531 0000</t>
  </si>
  <si>
    <t>19370601 0000</t>
  </si>
  <si>
    <t>19370630 0000</t>
  </si>
  <si>
    <t>19370701 0000</t>
  </si>
  <si>
    <t>19370731 0000</t>
  </si>
  <si>
    <t>19370801 0000</t>
  </si>
  <si>
    <t>19370831 0000</t>
  </si>
  <si>
    <t>19370901 0000</t>
  </si>
  <si>
    <t>19370930 0000</t>
  </si>
  <si>
    <t>19371001 0000</t>
  </si>
  <si>
    <t>19371031 0000</t>
  </si>
  <si>
    <t>19371101 0000</t>
  </si>
  <si>
    <t>19371130 0000</t>
  </si>
  <si>
    <t>19371201 0000</t>
  </si>
  <si>
    <t>19371231 0000</t>
  </si>
  <si>
    <t>19380101 0000</t>
  </si>
  <si>
    <t>19380131 0000</t>
  </si>
  <si>
    <t>19380201 0000</t>
  </si>
  <si>
    <t>19380228 0000</t>
  </si>
  <si>
    <t>19380301 0000</t>
  </si>
  <si>
    <t>19380331 0000</t>
  </si>
  <si>
    <t>19380401 0000</t>
  </si>
  <si>
    <t>19380430 0000</t>
  </si>
  <si>
    <t>19380501 0000</t>
  </si>
  <si>
    <t>19380531 0000</t>
  </si>
  <si>
    <t>19380601 0000</t>
  </si>
  <si>
    <t>19380630 0000</t>
  </si>
  <si>
    <t>19380701 0000</t>
  </si>
  <si>
    <t>19380731 0000</t>
  </si>
  <si>
    <t>19380801 0000</t>
  </si>
  <si>
    <t>19380831 0000</t>
  </si>
  <si>
    <t>19380901 0000</t>
  </si>
  <si>
    <t>19380930 0000</t>
  </si>
  <si>
    <t>19381001 0000</t>
  </si>
  <si>
    <t>19381031 0000</t>
  </si>
  <si>
    <t>19381101 0000</t>
  </si>
  <si>
    <t>19381130 0000</t>
  </si>
  <si>
    <t>19381201 0000</t>
  </si>
  <si>
    <t>19381231 0000</t>
  </si>
  <si>
    <t>19390101 0000</t>
  </si>
  <si>
    <t>19390131 0000</t>
  </si>
  <si>
    <t>19390201 0000</t>
  </si>
  <si>
    <t>19390228 0000</t>
  </si>
  <si>
    <t>19390301 0000</t>
  </si>
  <si>
    <t>19390331 0000</t>
  </si>
  <si>
    <t>19390401 0000</t>
  </si>
  <si>
    <t>19390430 0000</t>
  </si>
  <si>
    <t>19390501 0000</t>
  </si>
  <si>
    <t>19390531 0000</t>
  </si>
  <si>
    <t>19390601 0000</t>
  </si>
  <si>
    <t>19390630 0000</t>
  </si>
  <si>
    <t>19390701 0000</t>
  </si>
  <si>
    <t>19390731 0000</t>
  </si>
  <si>
    <t>19390801 0000</t>
  </si>
  <si>
    <t>19390831 0000</t>
  </si>
  <si>
    <t>19390901 0000</t>
  </si>
  <si>
    <t>19390930 0000</t>
  </si>
  <si>
    <t>19391001 0000</t>
  </si>
  <si>
    <t>19391031 0000</t>
  </si>
  <si>
    <t>19391101 0000</t>
  </si>
  <si>
    <t>19391130 0000</t>
  </si>
  <si>
    <t>19391201 0000</t>
  </si>
  <si>
    <t>19391231 0000</t>
  </si>
  <si>
    <t>19400101 0000</t>
  </si>
  <si>
    <t>19400131 0000</t>
  </si>
  <si>
    <t>19400201 0000</t>
  </si>
  <si>
    <t>19400229 0000</t>
  </si>
  <si>
    <t>19400301 0000</t>
  </si>
  <si>
    <t>19400331 0000</t>
  </si>
  <si>
    <t>19400401 0000</t>
  </si>
  <si>
    <t>19400430 0000</t>
  </si>
  <si>
    <t>19400501 0000</t>
  </si>
  <si>
    <t>19400531 0000</t>
  </si>
  <si>
    <t>19400601 0000</t>
  </si>
  <si>
    <t>19400630 0000</t>
  </si>
  <si>
    <t>19400701 0000</t>
  </si>
  <si>
    <t>19400731 0000</t>
  </si>
  <si>
    <t>19400801 0000</t>
  </si>
  <si>
    <t>19400831 0000</t>
  </si>
  <si>
    <t>19400901 0000</t>
  </si>
  <si>
    <t>19400930 0000</t>
  </si>
  <si>
    <t>19401001 0000</t>
  </si>
  <si>
    <t>19401031 0000</t>
  </si>
  <si>
    <t>19401101 0000</t>
  </si>
  <si>
    <t>19401130 0000</t>
  </si>
  <si>
    <t>19401201 0000</t>
  </si>
  <si>
    <t>19401231 0000</t>
  </si>
  <si>
    <t>19410101 0000</t>
  </si>
  <si>
    <t>19410131 0000</t>
  </si>
  <si>
    <t>19410201 0000</t>
  </si>
  <si>
    <t>19410228 0000</t>
  </si>
  <si>
    <t>19410301 0000</t>
  </si>
  <si>
    <t>19410331 0000</t>
  </si>
  <si>
    <t>19410401 0000</t>
  </si>
  <si>
    <t>19410430 0000</t>
  </si>
  <si>
    <t>19410501 0000</t>
  </si>
  <si>
    <t>19410531 0000</t>
  </si>
  <si>
    <t>19410601 0000</t>
  </si>
  <si>
    <t>19410630 0000</t>
  </si>
  <si>
    <t>19410701 0000</t>
  </si>
  <si>
    <t>19410731 0000</t>
  </si>
  <si>
    <t>19410801 0000</t>
  </si>
  <si>
    <t>19410831 0000</t>
  </si>
  <si>
    <t>19410901 0000</t>
  </si>
  <si>
    <t>19410930 0000</t>
  </si>
  <si>
    <t>19411001 0000</t>
  </si>
  <si>
    <t>19411031 0000</t>
  </si>
  <si>
    <t>19411101 0000</t>
  </si>
  <si>
    <t>19411130 0000</t>
  </si>
  <si>
    <t>19411201 0000</t>
  </si>
  <si>
    <t>19411231 0000</t>
  </si>
  <si>
    <t>19420101 0000</t>
  </si>
  <si>
    <t>19420131 0000</t>
  </si>
  <si>
    <t>19420201 0000</t>
  </si>
  <si>
    <t>19420228 0000</t>
  </si>
  <si>
    <t>19420301 0000</t>
  </si>
  <si>
    <t>19420331 0000</t>
  </si>
  <si>
    <t>19420401 0000</t>
  </si>
  <si>
    <t>19420430 0000</t>
  </si>
  <si>
    <t>19420501 0000</t>
  </si>
  <si>
    <t>19420531 0000</t>
  </si>
  <si>
    <t>19420601 0000</t>
  </si>
  <si>
    <t>19420630 0000</t>
  </si>
  <si>
    <t>19420701 0000</t>
  </si>
  <si>
    <t>19420731 0000</t>
  </si>
  <si>
    <t>19420801 0000</t>
  </si>
  <si>
    <t>19420831 0000</t>
  </si>
  <si>
    <t>19420901 0000</t>
  </si>
  <si>
    <t>19420930 0000</t>
  </si>
  <si>
    <t>19421001 0000</t>
  </si>
  <si>
    <t>19421031 0000</t>
  </si>
  <si>
    <t>19421101 0000</t>
  </si>
  <si>
    <t>19421130 0000</t>
  </si>
  <si>
    <t>19421201 0000</t>
  </si>
  <si>
    <t>19421231 0000</t>
  </si>
  <si>
    <t>19430101 0000</t>
  </si>
  <si>
    <t>19430131 0000</t>
  </si>
  <si>
    <t>19430201 0000</t>
  </si>
  <si>
    <t>19430228 0000</t>
  </si>
  <si>
    <t>19430301 0000</t>
  </si>
  <si>
    <t>19430331 0000</t>
  </si>
  <si>
    <t>19430401 0000</t>
  </si>
  <si>
    <t>19430430 0000</t>
  </si>
  <si>
    <t>19430501 0000</t>
  </si>
  <si>
    <t>19430531 0000</t>
  </si>
  <si>
    <t>19430601 0000</t>
  </si>
  <si>
    <t>19430630 0000</t>
  </si>
  <si>
    <t>19430701 0000</t>
  </si>
  <si>
    <t>19430731 0000</t>
  </si>
  <si>
    <t>19430801 0000</t>
  </si>
  <si>
    <t>19430831 0000</t>
  </si>
  <si>
    <t>19430901 0000</t>
  </si>
  <si>
    <t>19430930 0000</t>
  </si>
  <si>
    <t>19431001 0000</t>
  </si>
  <si>
    <t>19431031 0000</t>
  </si>
  <si>
    <t>19431101 0000</t>
  </si>
  <si>
    <t>19431130 0000</t>
  </si>
  <si>
    <t>19431201 0000</t>
  </si>
  <si>
    <t>19431231 0000</t>
  </si>
  <si>
    <t>19440101 0000</t>
  </si>
  <si>
    <t>19440131 0000</t>
  </si>
  <si>
    <t>19440201 0000</t>
  </si>
  <si>
    <t>19440229 0000</t>
  </si>
  <si>
    <t>19440301 0000</t>
  </si>
  <si>
    <t>19440331 0000</t>
  </si>
  <si>
    <t>19440401 0000</t>
  </si>
  <si>
    <t>19440430 0000</t>
  </si>
  <si>
    <t>19440501 0000</t>
  </si>
  <si>
    <t>19440531 0000</t>
  </si>
  <si>
    <t>19440601 0000</t>
  </si>
  <si>
    <t>19440630 0000</t>
  </si>
  <si>
    <t>19440701 0000</t>
  </si>
  <si>
    <t>19440731 0000</t>
  </si>
  <si>
    <t>19440801 0000</t>
  </si>
  <si>
    <t>19440831 0000</t>
  </si>
  <si>
    <t>19440901 0000</t>
  </si>
  <si>
    <t>19440930 0000</t>
  </si>
  <si>
    <t>19441001 0000</t>
  </si>
  <si>
    <t>19441031 0000</t>
  </si>
  <si>
    <t>19441101 0000</t>
  </si>
  <si>
    <t>19441130 0000</t>
  </si>
  <si>
    <t>19441201 0000</t>
  </si>
  <si>
    <t>19441231 0000</t>
  </si>
  <si>
    <t>19450101 0000</t>
  </si>
  <si>
    <t>19450131 0000</t>
  </si>
  <si>
    <t>19450201 0000</t>
  </si>
  <si>
    <t>19450228 0000</t>
  </si>
  <si>
    <t>19450301 0000</t>
  </si>
  <si>
    <t>19450331 0000</t>
  </si>
  <si>
    <t>19450401 0000</t>
  </si>
  <si>
    <t>19450430 0000</t>
  </si>
  <si>
    <t>19450501 0000</t>
  </si>
  <si>
    <t>19450531 0000</t>
  </si>
  <si>
    <t>19450601 0000</t>
  </si>
  <si>
    <t>19450630 0000</t>
  </si>
  <si>
    <t>19450701 0000</t>
  </si>
  <si>
    <t>19450731 0000</t>
  </si>
  <si>
    <t>19450801 0000</t>
  </si>
  <si>
    <t>19450831 0000</t>
  </si>
  <si>
    <t>19450901 0000</t>
  </si>
  <si>
    <t>19450930 0000</t>
  </si>
  <si>
    <t>19451001 0000</t>
  </si>
  <si>
    <t>19451031 0000</t>
  </si>
  <si>
    <t>19451101 0000</t>
  </si>
  <si>
    <t>19451130 0000</t>
  </si>
  <si>
    <t>19451201 0000</t>
  </si>
  <si>
    <t>19451231 0000</t>
  </si>
  <si>
    <t>19460101 0000</t>
  </si>
  <si>
    <t>19460131 0000</t>
  </si>
  <si>
    <t>19460201 0000</t>
  </si>
  <si>
    <t>19460228 0000</t>
  </si>
  <si>
    <t>19460301 0000</t>
  </si>
  <si>
    <t>19460331 0000</t>
  </si>
  <si>
    <t>19460401 0000</t>
  </si>
  <si>
    <t>19460430 0000</t>
  </si>
  <si>
    <t>19460501 0000</t>
  </si>
  <si>
    <t>19460531 0000</t>
  </si>
  <si>
    <t>19460601 0000</t>
  </si>
  <si>
    <t>19460630 0000</t>
  </si>
  <si>
    <t>19460701 0000</t>
  </si>
  <si>
    <t>19460731 0000</t>
  </si>
  <si>
    <t>19460801 0000</t>
  </si>
  <si>
    <t>19460831 0000</t>
  </si>
  <si>
    <t>19460901 0000</t>
  </si>
  <si>
    <t>19460930 0000</t>
  </si>
  <si>
    <t>19461001 0000</t>
  </si>
  <si>
    <t>19461031 0000</t>
  </si>
  <si>
    <t>19461101 0000</t>
  </si>
  <si>
    <t>19461130 0000</t>
  </si>
  <si>
    <t>19461201 0000</t>
  </si>
  <si>
    <t>19461231 0000</t>
  </si>
  <si>
    <t>19470101 0000</t>
  </si>
  <si>
    <t>19470131 0000</t>
  </si>
  <si>
    <t>19470201 0000</t>
  </si>
  <si>
    <t>19470228 0000</t>
  </si>
  <si>
    <t>19470301 0000</t>
  </si>
  <si>
    <t>19470331 0000</t>
  </si>
  <si>
    <t>19470401 0000</t>
  </si>
  <si>
    <t>19470430 0000</t>
  </si>
  <si>
    <t>19470501 0000</t>
  </si>
  <si>
    <t>19470531 0000</t>
  </si>
  <si>
    <t>19470601 0000</t>
  </si>
  <si>
    <t>19470630 0000</t>
  </si>
  <si>
    <t>19470701 0000</t>
  </si>
  <si>
    <t>19470731 0000</t>
  </si>
  <si>
    <t>19470801 0000</t>
  </si>
  <si>
    <t>19470831 0000</t>
  </si>
  <si>
    <t>19470901 0000</t>
  </si>
  <si>
    <t>19470930 0000</t>
  </si>
  <si>
    <t>19471001 0000</t>
  </si>
  <si>
    <t>19471031 0000</t>
  </si>
  <si>
    <t>19471101 0000</t>
  </si>
  <si>
    <t>19471130 0000</t>
  </si>
  <si>
    <t>19471201 0000</t>
  </si>
  <si>
    <t>19471231 0000</t>
  </si>
  <si>
    <t>19480101 0000</t>
  </si>
  <si>
    <t>19480131 0000</t>
  </si>
  <si>
    <t>19480201 0000</t>
  </si>
  <si>
    <t>19480229 0000</t>
  </si>
  <si>
    <t>19480301 0000</t>
  </si>
  <si>
    <t>19480331 0000</t>
  </si>
  <si>
    <t>19480401 0000</t>
  </si>
  <si>
    <t>19480430 0000</t>
  </si>
  <si>
    <t>19480501 0000</t>
  </si>
  <si>
    <t>19480531 0000</t>
  </si>
  <si>
    <t>19480601 0000</t>
  </si>
  <si>
    <t>19480630 0000</t>
  </si>
  <si>
    <t>19480701 0000</t>
  </si>
  <si>
    <t>19480731 0000</t>
  </si>
  <si>
    <t>19480801 0000</t>
  </si>
  <si>
    <t>19480831 0000</t>
  </si>
  <si>
    <t>19480901 0000</t>
  </si>
  <si>
    <t>19480930 0000</t>
  </si>
  <si>
    <t>19481001 0000</t>
  </si>
  <si>
    <t>19481031 0000</t>
  </si>
  <si>
    <t>19481101 0000</t>
  </si>
  <si>
    <t>19481130 0000</t>
  </si>
  <si>
    <t>19481201 0000</t>
  </si>
  <si>
    <t>19481231 0000</t>
  </si>
  <si>
    <t>19490101 0000</t>
  </si>
  <si>
    <t>19490131 0000</t>
  </si>
  <si>
    <t>19490201 0000</t>
  </si>
  <si>
    <t>19490228 0000</t>
  </si>
  <si>
    <t>19490301 0000</t>
  </si>
  <si>
    <t>19490331 0000</t>
  </si>
  <si>
    <t>19490401 0000</t>
  </si>
  <si>
    <t>19490430 0000</t>
  </si>
  <si>
    <t>19490501 0000</t>
  </si>
  <si>
    <t>19490531 0000</t>
  </si>
  <si>
    <t>19490601 0000</t>
  </si>
  <si>
    <t>19490630 0000</t>
  </si>
  <si>
    <t>19490701 0000</t>
  </si>
  <si>
    <t>19490731 0000</t>
  </si>
  <si>
    <t>19490801 0000</t>
  </si>
  <si>
    <t>19490831 0000</t>
  </si>
  <si>
    <t>19490901 0000</t>
  </si>
  <si>
    <t>19490930 0000</t>
  </si>
  <si>
    <t>19491001 0000</t>
  </si>
  <si>
    <t>19491031 0000</t>
  </si>
  <si>
    <t>19491101 0000</t>
  </si>
  <si>
    <t>19491130 0000</t>
  </si>
  <si>
    <t>19491201 0000</t>
  </si>
  <si>
    <t>19491231 0000</t>
  </si>
  <si>
    <t>19500101 0000</t>
  </si>
  <si>
    <t>19500131 0000</t>
  </si>
  <si>
    <t>19500201 0000</t>
  </si>
  <si>
    <t>19500228 0000</t>
  </si>
  <si>
    <t>19500301 0000</t>
  </si>
  <si>
    <t>19500331 0000</t>
  </si>
  <si>
    <t>19500401 0000</t>
  </si>
  <si>
    <t>19500430 0000</t>
  </si>
  <si>
    <t>19500501 0000</t>
  </si>
  <si>
    <t>19500531 0000</t>
  </si>
  <si>
    <t>19500601 0000</t>
  </si>
  <si>
    <t>19500630 0000</t>
  </si>
  <si>
    <t>19500701 0000</t>
  </si>
  <si>
    <t>19500731 0000</t>
  </si>
  <si>
    <t>19500801 0000</t>
  </si>
  <si>
    <t>19500831 0000</t>
  </si>
  <si>
    <t>19500901 0000</t>
  </si>
  <si>
    <t>19500930 0000</t>
  </si>
  <si>
    <t>19501001 0000</t>
  </si>
  <si>
    <t>19501031 0000</t>
  </si>
  <si>
    <t>19501101 0000</t>
  </si>
  <si>
    <t>19501130 0000</t>
  </si>
  <si>
    <t>19501201 0000</t>
  </si>
  <si>
    <t>19501231 0000</t>
  </si>
  <si>
    <t>19510101 0000</t>
  </si>
  <si>
    <t>19510131 0000</t>
  </si>
  <si>
    <t>19510201 0000</t>
  </si>
  <si>
    <t>19510228 0000</t>
  </si>
  <si>
    <t>19510301 0000</t>
  </si>
  <si>
    <t>19510331 0000</t>
  </si>
  <si>
    <t>19510401 0000</t>
  </si>
  <si>
    <t>19510430 0000</t>
  </si>
  <si>
    <t>19510501 0000</t>
  </si>
  <si>
    <t>19510531 0000</t>
  </si>
  <si>
    <t>19510601 0000</t>
  </si>
  <si>
    <t>19510630 0000</t>
  </si>
  <si>
    <t>19510701 0000</t>
  </si>
  <si>
    <t>19510731 0000</t>
  </si>
  <si>
    <t>19510801 0000</t>
  </si>
  <si>
    <t>19510831 0000</t>
  </si>
  <si>
    <t>19510901 0000</t>
  </si>
  <si>
    <t>19510930 0000</t>
  </si>
  <si>
    <t>19511001 0000</t>
  </si>
  <si>
    <t>19511031 0000</t>
  </si>
  <si>
    <t>19511101 0000</t>
  </si>
  <si>
    <t>19511130 0000</t>
  </si>
  <si>
    <t>19511201 0000</t>
  </si>
  <si>
    <t>19511231 0000</t>
  </si>
  <si>
    <t>19520101 0000</t>
  </si>
  <si>
    <t>19520131 0000</t>
  </si>
  <si>
    <t>19520201 0000</t>
  </si>
  <si>
    <t>19520229 0000</t>
  </si>
  <si>
    <t>19520301 0000</t>
  </si>
  <si>
    <t>19520331 0000</t>
  </si>
  <si>
    <t>19520401 0000</t>
  </si>
  <si>
    <t>19520430 0000</t>
  </si>
  <si>
    <t>19520501 0000</t>
  </si>
  <si>
    <t>19520531 0000</t>
  </si>
  <si>
    <t>19520601 0000</t>
  </si>
  <si>
    <t>19520630 0000</t>
  </si>
  <si>
    <t>19520701 0000</t>
  </si>
  <si>
    <t>19520731 0000</t>
  </si>
  <si>
    <t>19520801 0000</t>
  </si>
  <si>
    <t>19520831 0000</t>
  </si>
  <si>
    <t>19520901 0000</t>
  </si>
  <si>
    <t>19520930 0000</t>
  </si>
  <si>
    <t>19521001 0000</t>
  </si>
  <si>
    <t>19521031 0000</t>
  </si>
  <si>
    <t>19521101 0000</t>
  </si>
  <si>
    <t>19521130 0000</t>
  </si>
  <si>
    <t>19521201 0000</t>
  </si>
  <si>
    <t>19521231 0000</t>
  </si>
  <si>
    <t>19530101 0000</t>
  </si>
  <si>
    <t>19530131 0000</t>
  </si>
  <si>
    <t>19530201 0000</t>
  </si>
  <si>
    <t>19530228 0000</t>
  </si>
  <si>
    <t>19530301 0000</t>
  </si>
  <si>
    <t>19530331 0000</t>
  </si>
  <si>
    <t>19530401 0000</t>
  </si>
  <si>
    <t>19530430 0000</t>
  </si>
  <si>
    <t>19530501 0000</t>
  </si>
  <si>
    <t>19530531 0000</t>
  </si>
  <si>
    <t>19530601 0000</t>
  </si>
  <si>
    <t>19530630 0000</t>
  </si>
  <si>
    <t>19530701 0000</t>
  </si>
  <si>
    <t>19530731 0000</t>
  </si>
  <si>
    <t>19530801 0000</t>
  </si>
  <si>
    <t>19530831 0000</t>
  </si>
  <si>
    <t>19530901 0000</t>
  </si>
  <si>
    <t>19530930 0000</t>
  </si>
  <si>
    <t>19531001 0000</t>
  </si>
  <si>
    <t>19531031 0000</t>
  </si>
  <si>
    <t>19531101 0000</t>
  </si>
  <si>
    <t>19531130 0000</t>
  </si>
  <si>
    <t>19531201 0000</t>
  </si>
  <si>
    <t>19531231 0000</t>
  </si>
  <si>
    <t>19540101 0000</t>
  </si>
  <si>
    <t>19540131 0000</t>
  </si>
  <si>
    <t>19540201 0000</t>
  </si>
  <si>
    <t>19540228 0000</t>
  </si>
  <si>
    <t>19540301 0000</t>
  </si>
  <si>
    <t>19540331 0000</t>
  </si>
  <si>
    <t>19540401 0000</t>
  </si>
  <si>
    <t>19540430 0000</t>
  </si>
  <si>
    <t>19540501 0000</t>
  </si>
  <si>
    <t>19540531 0000</t>
  </si>
  <si>
    <t>19540601 0000</t>
  </si>
  <si>
    <t>19540630 0000</t>
  </si>
  <si>
    <t>19540701 0000</t>
  </si>
  <si>
    <t>19540731 0000</t>
  </si>
  <si>
    <t>19540801 0000</t>
  </si>
  <si>
    <t>19540831 0000</t>
  </si>
  <si>
    <t>19540901 0000</t>
  </si>
  <si>
    <t>19540930 0000</t>
  </si>
  <si>
    <t>19541001 0000</t>
  </si>
  <si>
    <t>19541031 0000</t>
  </si>
  <si>
    <t>19541101 0000</t>
  </si>
  <si>
    <t>19541130 0000</t>
  </si>
  <si>
    <t>19541201 0000</t>
  </si>
  <si>
    <t>19541231 0000</t>
  </si>
  <si>
    <t>19550101 0000</t>
  </si>
  <si>
    <t>19550131 0000</t>
  </si>
  <si>
    <t>19550201 0000</t>
  </si>
  <si>
    <t>19550228 0000</t>
  </si>
  <si>
    <t>19550301 0000</t>
  </si>
  <si>
    <t>19550331 0000</t>
  </si>
  <si>
    <t>19550401 0000</t>
  </si>
  <si>
    <t>19550430 0000</t>
  </si>
  <si>
    <t>19550501 0000</t>
  </si>
  <si>
    <t>19550531 0000</t>
  </si>
  <si>
    <t>19550601 0000</t>
  </si>
  <si>
    <t>19550630 0000</t>
  </si>
  <si>
    <t>19550701 0000</t>
  </si>
  <si>
    <t>19550731 0000</t>
  </si>
  <si>
    <t>19550801 0000</t>
  </si>
  <si>
    <t>19550831 0000</t>
  </si>
  <si>
    <t>19550901 0000</t>
  </si>
  <si>
    <t>19550930 0000</t>
  </si>
  <si>
    <t>19551001 0000</t>
  </si>
  <si>
    <t>19551031 0000</t>
  </si>
  <si>
    <t>19551101 0000</t>
  </si>
  <si>
    <t>19551130 0000</t>
  </si>
  <si>
    <t>19551201 0000</t>
  </si>
  <si>
    <t>19551231 0000</t>
  </si>
  <si>
    <t>19560101 0000</t>
  </si>
  <si>
    <t>19560131 0000</t>
  </si>
  <si>
    <t>19560201 0000</t>
  </si>
  <si>
    <t>19560229 0000</t>
  </si>
  <si>
    <t>19560301 0000</t>
  </si>
  <si>
    <t>19560331 0000</t>
  </si>
  <si>
    <t>19560401 0000</t>
  </si>
  <si>
    <t>19560430 0000</t>
  </si>
  <si>
    <t>19560501 0000</t>
  </si>
  <si>
    <t>19560531 0000</t>
  </si>
  <si>
    <t>19560601 0000</t>
  </si>
  <si>
    <t>19560630 0000</t>
  </si>
  <si>
    <t>19560701 0000</t>
  </si>
  <si>
    <t>19560731 0000</t>
  </si>
  <si>
    <t>19560801 0000</t>
  </si>
  <si>
    <t>19560831 0000</t>
  </si>
  <si>
    <t>19560901 0000</t>
  </si>
  <si>
    <t>19560930 0000</t>
  </si>
  <si>
    <t>19561001 0000</t>
  </si>
  <si>
    <t>19561031 0000</t>
  </si>
  <si>
    <t>19561101 0000</t>
  </si>
  <si>
    <t>19561130 0000</t>
  </si>
  <si>
    <t>19561201 0000</t>
  </si>
  <si>
    <t>19561231 0000</t>
  </si>
  <si>
    <t>19570101 0000</t>
  </si>
  <si>
    <t>19570131 0000</t>
  </si>
  <si>
    <t>19570201 0000</t>
  </si>
  <si>
    <t>19570228 0000</t>
  </si>
  <si>
    <t>19570301 0000</t>
  </si>
  <si>
    <t>19570331 0000</t>
  </si>
  <si>
    <t>19570401 0000</t>
  </si>
  <si>
    <t>19570430 0000</t>
  </si>
  <si>
    <t>19570501 0000</t>
  </si>
  <si>
    <t>19570531 0000</t>
  </si>
  <si>
    <t>19570601 0000</t>
  </si>
  <si>
    <t>19570630 0000</t>
  </si>
  <si>
    <t>19570701 0000</t>
  </si>
  <si>
    <t>19570731 0000</t>
  </si>
  <si>
    <t>19570801 0000</t>
  </si>
  <si>
    <t>19570831 0000</t>
  </si>
  <si>
    <t>19570901 0000</t>
  </si>
  <si>
    <t>19570930 0000</t>
  </si>
  <si>
    <t>19571001 0000</t>
  </si>
  <si>
    <t>19571031 0000</t>
  </si>
  <si>
    <t>19571101 0000</t>
  </si>
  <si>
    <t>19571130 0000</t>
  </si>
  <si>
    <t>19571201 0000</t>
  </si>
  <si>
    <t>19571231 0000</t>
  </si>
  <si>
    <t>19580101 0000</t>
  </si>
  <si>
    <t>19580131 0000</t>
  </si>
  <si>
    <t>19580201 0000</t>
  </si>
  <si>
    <t>19580228 0000</t>
  </si>
  <si>
    <t>19580301 0000</t>
  </si>
  <si>
    <t>19580331 0000</t>
  </si>
  <si>
    <t>19580401 0000</t>
  </si>
  <si>
    <t>19580430 0000</t>
  </si>
  <si>
    <t>19580501 0000</t>
  </si>
  <si>
    <t>19580531 0000</t>
  </si>
  <si>
    <t>19580601 0000</t>
  </si>
  <si>
    <t>19580630 0000</t>
  </si>
  <si>
    <t>19580701 0000</t>
  </si>
  <si>
    <t>19580731 0000</t>
  </si>
  <si>
    <t>19580801 0000</t>
  </si>
  <si>
    <t>19580831 0000</t>
  </si>
  <si>
    <t>19580901 0000</t>
  </si>
  <si>
    <t>19580930 0000</t>
  </si>
  <si>
    <t>19581001 0000</t>
  </si>
  <si>
    <t>19581031 0000</t>
  </si>
  <si>
    <t>19581101 0000</t>
  </si>
  <si>
    <t>19581130 0000</t>
  </si>
  <si>
    <t>19581201 0000</t>
  </si>
  <si>
    <t>19581231 0000</t>
  </si>
  <si>
    <t>19590101 0000</t>
  </si>
  <si>
    <t>19590131 0000</t>
  </si>
  <si>
    <t>19590201 0000</t>
  </si>
  <si>
    <t>19590228 0000</t>
  </si>
  <si>
    <t>19590301 0000</t>
  </si>
  <si>
    <t>19590331 0000</t>
  </si>
  <si>
    <t>19590401 0000</t>
  </si>
  <si>
    <t>19590430 0000</t>
  </si>
  <si>
    <t>19590501 0000</t>
  </si>
  <si>
    <t>19590531 0000</t>
  </si>
  <si>
    <t>19590601 0000</t>
  </si>
  <si>
    <t>19590630 0000</t>
  </si>
  <si>
    <t>19590701 0000</t>
  </si>
  <si>
    <t>19590731 0000</t>
  </si>
  <si>
    <t>19590801 0000</t>
  </si>
  <si>
    <t>19590831 0000</t>
  </si>
  <si>
    <t>19590901 0000</t>
  </si>
  <si>
    <t>19590930 0000</t>
  </si>
  <si>
    <t>19591001 0000</t>
  </si>
  <si>
    <t>19591031 0000</t>
  </si>
  <si>
    <t>19591101 0000</t>
  </si>
  <si>
    <t>19591130 0000</t>
  </si>
  <si>
    <t>19591201 0000</t>
  </si>
  <si>
    <t>19591231 0000</t>
  </si>
  <si>
    <t>19600101 0000</t>
  </si>
  <si>
    <t>19600131 0000</t>
  </si>
  <si>
    <t>19600201 0000</t>
  </si>
  <si>
    <t>19600229 0000</t>
  </si>
  <si>
    <t>19600301 0000</t>
  </si>
  <si>
    <t>19600331 0000</t>
  </si>
  <si>
    <t>19600401 0000</t>
  </si>
  <si>
    <t>19600430 0000</t>
  </si>
  <si>
    <t>19600501 0000</t>
  </si>
  <si>
    <t>19600531 0000</t>
  </si>
  <si>
    <t>19600601 0000</t>
  </si>
  <si>
    <t>19600630 0000</t>
  </si>
  <si>
    <t>19600701 0000</t>
  </si>
  <si>
    <t>19600731 0000</t>
  </si>
  <si>
    <t>19600801 0000</t>
  </si>
  <si>
    <t>19600831 0000</t>
  </si>
  <si>
    <t>19600901 0000</t>
  </si>
  <si>
    <t>19600930 0000</t>
  </si>
  <si>
    <t>19601001 0000</t>
  </si>
  <si>
    <t>19601031 0000</t>
  </si>
  <si>
    <t>19601101 0000</t>
  </si>
  <si>
    <t>19601130 0000</t>
  </si>
  <si>
    <t>19601201 0000</t>
  </si>
  <si>
    <t>19601231 0000</t>
  </si>
  <si>
    <t>19610101 0000</t>
  </si>
  <si>
    <t>19610131 0000</t>
  </si>
  <si>
    <t>19610201 0000</t>
  </si>
  <si>
    <t>19610228 0000</t>
  </si>
  <si>
    <t>19610301 0000</t>
  </si>
  <si>
    <t>19610331 0000</t>
  </si>
  <si>
    <t>19610401 0000</t>
  </si>
  <si>
    <t>19610430 0000</t>
  </si>
  <si>
    <t>19610501 0000</t>
  </si>
  <si>
    <t>19610531 0000</t>
  </si>
  <si>
    <t>19610601 0000</t>
  </si>
  <si>
    <t>19610630 0000</t>
  </si>
  <si>
    <t>19610701 0000</t>
  </si>
  <si>
    <t>19610731 0000</t>
  </si>
  <si>
    <t>19610801 0000</t>
  </si>
  <si>
    <t>19610831 0000</t>
  </si>
  <si>
    <t>19610901 0000</t>
  </si>
  <si>
    <t>19610930 0000</t>
  </si>
  <si>
    <t>19611001 0000</t>
  </si>
  <si>
    <t>19611031 0000</t>
  </si>
  <si>
    <t>19611101 0000</t>
  </si>
  <si>
    <t>19611130 0000</t>
  </si>
  <si>
    <t>19611201 0000</t>
  </si>
  <si>
    <t>19611231 0000</t>
  </si>
  <si>
    <t>19620101 0000</t>
  </si>
  <si>
    <t>19620131 0000</t>
  </si>
  <si>
    <t>19620201 0000</t>
  </si>
  <si>
    <t>19620228 0000</t>
  </si>
  <si>
    <t>19620301 0000</t>
  </si>
  <si>
    <t>19620331 0000</t>
  </si>
  <si>
    <t>19620401 0000</t>
  </si>
  <si>
    <t>19620430 0000</t>
  </si>
  <si>
    <t>19620501 0000</t>
  </si>
  <si>
    <t>19620531 0000</t>
  </si>
  <si>
    <t>19620601 0000</t>
  </si>
  <si>
    <t>19620630 0000</t>
  </si>
  <si>
    <t>19620701 0000</t>
  </si>
  <si>
    <t>19620731 0000</t>
  </si>
  <si>
    <t>19620801 0000</t>
  </si>
  <si>
    <t>19620831 0000</t>
  </si>
  <si>
    <t>19620901 0000</t>
  </si>
  <si>
    <t>19620930 0000</t>
  </si>
  <si>
    <t>19621001 0000</t>
  </si>
  <si>
    <t>19621031 0000</t>
  </si>
  <si>
    <t>19621101 0000</t>
  </si>
  <si>
    <t>19621130 0000</t>
  </si>
  <si>
    <t>19621201 0000</t>
  </si>
  <si>
    <t>19621231 0000</t>
  </si>
  <si>
    <t>19630101 0000</t>
  </si>
  <si>
    <t>19630131 0000</t>
  </si>
  <si>
    <t>19630201 0000</t>
  </si>
  <si>
    <t>19630228 0000</t>
  </si>
  <si>
    <t>19630301 0000</t>
  </si>
  <si>
    <t>19630331 0000</t>
  </si>
  <si>
    <t>19630401 0000</t>
  </si>
  <si>
    <t>19630430 0000</t>
  </si>
  <si>
    <t>19630501 0000</t>
  </si>
  <si>
    <t>19630531 0000</t>
  </si>
  <si>
    <t>19630601 0000</t>
  </si>
  <si>
    <t>19630630 0000</t>
  </si>
  <si>
    <t>19630701 0000</t>
  </si>
  <si>
    <t>19630731 0000</t>
  </si>
  <si>
    <t>19630801 0000</t>
  </si>
  <si>
    <t>19630831 0000</t>
  </si>
  <si>
    <t>19630901 0000</t>
  </si>
  <si>
    <t>19630930 0000</t>
  </si>
  <si>
    <t>19631001 0000</t>
  </si>
  <si>
    <t>19631031 0000</t>
  </si>
  <si>
    <t>19631101 0000</t>
  </si>
  <si>
    <t>19631130 0000</t>
  </si>
  <si>
    <t>19631201 0000</t>
  </si>
  <si>
    <t>19631231 0000</t>
  </si>
  <si>
    <t>19640101 0000</t>
  </si>
  <si>
    <t>19640131 0000</t>
  </si>
  <si>
    <t>19640201 0000</t>
  </si>
  <si>
    <t>19640229 0000</t>
  </si>
  <si>
    <t>19640301 0000</t>
  </si>
  <si>
    <t>19640331 0000</t>
  </si>
  <si>
    <t>19640401 0000</t>
  </si>
  <si>
    <t>19640430 0000</t>
  </si>
  <si>
    <t>19640501 0000</t>
  </si>
  <si>
    <t>19640531 0000</t>
  </si>
  <si>
    <t>19640601 0000</t>
  </si>
  <si>
    <t>19640630 0000</t>
  </si>
  <si>
    <t>19640701 0000</t>
  </si>
  <si>
    <t>19640731 0000</t>
  </si>
  <si>
    <t>19640801 0000</t>
  </si>
  <si>
    <t>19640831 0000</t>
  </si>
  <si>
    <t>19640901 0000</t>
  </si>
  <si>
    <t>19640930 0000</t>
  </si>
  <si>
    <t>19641001 0000</t>
  </si>
  <si>
    <t>19641031 0000</t>
  </si>
  <si>
    <t>19641101 0000</t>
  </si>
  <si>
    <t>19641130 0000</t>
  </si>
  <si>
    <t>19641201 0000</t>
  </si>
  <si>
    <t>19641231 0000</t>
  </si>
  <si>
    <t>19650101 0000</t>
  </si>
  <si>
    <t>19650131 0000</t>
  </si>
  <si>
    <t>19650201 0000</t>
  </si>
  <si>
    <t>19650228 0000</t>
  </si>
  <si>
    <t>19650301 0000</t>
  </si>
  <si>
    <t>19650331 0000</t>
  </si>
  <si>
    <t>19650401 0000</t>
  </si>
  <si>
    <t>19650430 0000</t>
  </si>
  <si>
    <t>19650501 0000</t>
  </si>
  <si>
    <t>19650531 0000</t>
  </si>
  <si>
    <t>19650601 0000</t>
  </si>
  <si>
    <t>19650630 0000</t>
  </si>
  <si>
    <t>19650701 0000</t>
  </si>
  <si>
    <t>19650731 0000</t>
  </si>
  <si>
    <t>19650801 0000</t>
  </si>
  <si>
    <t>19650831 0000</t>
  </si>
  <si>
    <t>19650901 0000</t>
  </si>
  <si>
    <t>19650930 0000</t>
  </si>
  <si>
    <t>19651001 0000</t>
  </si>
  <si>
    <t>19651031 0000</t>
  </si>
  <si>
    <t>19651101 0000</t>
  </si>
  <si>
    <t>19651130 0000</t>
  </si>
  <si>
    <t>19651201 0000</t>
  </si>
  <si>
    <t>19651231 0000</t>
  </si>
  <si>
    <t>19660101 0000</t>
  </si>
  <si>
    <t>19660131 0000</t>
  </si>
  <si>
    <t>19660201 0000</t>
  </si>
  <si>
    <t>19660228 0000</t>
  </si>
  <si>
    <t>19660301 0000</t>
  </si>
  <si>
    <t>19660331 0000</t>
  </si>
  <si>
    <t>19660401 0000</t>
  </si>
  <si>
    <t>19660430 0000</t>
  </si>
  <si>
    <t>19660501 0000</t>
  </si>
  <si>
    <t>19660531 0000</t>
  </si>
  <si>
    <t>19660601 0000</t>
  </si>
  <si>
    <t>19660630 0000</t>
  </si>
  <si>
    <t>19660701 0000</t>
  </si>
  <si>
    <t>19660731 0000</t>
  </si>
  <si>
    <t>19660801 0000</t>
  </si>
  <si>
    <t>19660831 0000</t>
  </si>
  <si>
    <t>19660901 0000</t>
  </si>
  <si>
    <t>19660930 0000</t>
  </si>
  <si>
    <t>19661001 0000</t>
  </si>
  <si>
    <t>19661031 0000</t>
  </si>
  <si>
    <t>19661101 0000</t>
  </si>
  <si>
    <t>19661130 0000</t>
  </si>
  <si>
    <t>19661201 0000</t>
  </si>
  <si>
    <t>19661231 0000</t>
  </si>
  <si>
    <t>19670101 0000</t>
  </si>
  <si>
    <t>19670131 0000</t>
  </si>
  <si>
    <t>19670201 0000</t>
  </si>
  <si>
    <t>19670228 0000</t>
  </si>
  <si>
    <t>19670301 0000</t>
  </si>
  <si>
    <t>19670331 0000</t>
  </si>
  <si>
    <t>19670401 0000</t>
  </si>
  <si>
    <t>19670430 0000</t>
  </si>
  <si>
    <t>19670501 0000</t>
  </si>
  <si>
    <t>19670531 0000</t>
  </si>
  <si>
    <t>19670601 0000</t>
  </si>
  <si>
    <t>19670630 0000</t>
  </si>
  <si>
    <t>19670701 0000</t>
  </si>
  <si>
    <t>19670731 0000</t>
  </si>
  <si>
    <t>19670801 0000</t>
  </si>
  <si>
    <t>19670831 0000</t>
  </si>
  <si>
    <t>19670901 0000</t>
  </si>
  <si>
    <t>19670930 0000</t>
  </si>
  <si>
    <t>19671001 0000</t>
  </si>
  <si>
    <t>19671031 0000</t>
  </si>
  <si>
    <t>19671101 0000</t>
  </si>
  <si>
    <t>19671130 0000</t>
  </si>
  <si>
    <t>19671201 0000</t>
  </si>
  <si>
    <t>19671231 0000</t>
  </si>
  <si>
    <t>19680101 0000</t>
  </si>
  <si>
    <t>19680131 0000</t>
  </si>
  <si>
    <t>19680201 0000</t>
  </si>
  <si>
    <t>19680229 0000</t>
  </si>
  <si>
    <t>19680301 0000</t>
  </si>
  <si>
    <t>19680331 0000</t>
  </si>
  <si>
    <t>19680401 0000</t>
  </si>
  <si>
    <t>19680430 0000</t>
  </si>
  <si>
    <t>19680501 0000</t>
  </si>
  <si>
    <t>19680531 0000</t>
  </si>
  <si>
    <t>19680601 0000</t>
  </si>
  <si>
    <t>19680630 0000</t>
  </si>
  <si>
    <t>19680701 0000</t>
  </si>
  <si>
    <t>19680731 0000</t>
  </si>
  <si>
    <t>19680801 0000</t>
  </si>
  <si>
    <t>19680831 0000</t>
  </si>
  <si>
    <t>19680901 0000</t>
  </si>
  <si>
    <t>19680930 0000</t>
  </si>
  <si>
    <t>19681001 0000</t>
  </si>
  <si>
    <t>19681031 0000</t>
  </si>
  <si>
    <t>19681101 0000</t>
  </si>
  <si>
    <t>19681130 0000</t>
  </si>
  <si>
    <t>19681201 0000</t>
  </si>
  <si>
    <t>19681231 0000</t>
  </si>
  <si>
    <t>19690101 0000</t>
  </si>
  <si>
    <t>19690131 0000</t>
  </si>
  <si>
    <t>19690201 0000</t>
  </si>
  <si>
    <t>19690228 0000</t>
  </si>
  <si>
    <t>19690301 0000</t>
  </si>
  <si>
    <t>19690331 0000</t>
  </si>
  <si>
    <t>19690401 0000</t>
  </si>
  <si>
    <t>19690430 0000</t>
  </si>
  <si>
    <t>19690501 0000</t>
  </si>
  <si>
    <t>19690531 0000</t>
  </si>
  <si>
    <t>19690601 0000</t>
  </si>
  <si>
    <t>19690630 0000</t>
  </si>
  <si>
    <t>19690701 0000</t>
  </si>
  <si>
    <t>19690731 0000</t>
  </si>
  <si>
    <t>19690801 0000</t>
  </si>
  <si>
    <t>19690831 0000</t>
  </si>
  <si>
    <t>19690901 0000</t>
  </si>
  <si>
    <t>19690930 0000</t>
  </si>
  <si>
    <t>19691001 0000</t>
  </si>
  <si>
    <t>19691031 0000</t>
  </si>
  <si>
    <t>19691101 0000</t>
  </si>
  <si>
    <t>19691130 0000</t>
  </si>
  <si>
    <t>19691201 0000</t>
  </si>
  <si>
    <t>19691231 0000</t>
  </si>
  <si>
    <t>19700101 0000</t>
  </si>
  <si>
    <t>19700131 0000</t>
  </si>
  <si>
    <t>19700201 0000</t>
  </si>
  <si>
    <t>19700228 0000</t>
  </si>
  <si>
    <t>19700301 0000</t>
  </si>
  <si>
    <t>19700331 0000</t>
  </si>
  <si>
    <t>19700401 0000</t>
  </si>
  <si>
    <t>19700430 0000</t>
  </si>
  <si>
    <t>19700501 0000</t>
  </si>
  <si>
    <t>19700529 0000</t>
  </si>
  <si>
    <t>19700601 0000</t>
  </si>
  <si>
    <t>19700628 0000</t>
  </si>
  <si>
    <t>19700701 0000</t>
  </si>
  <si>
    <t>19700729 0000</t>
  </si>
  <si>
    <t>19700801 0000</t>
  </si>
  <si>
    <t>19700829 0000</t>
  </si>
  <si>
    <t>19700901 0000</t>
  </si>
  <si>
    <t>19700928 0000</t>
  </si>
  <si>
    <t>19701001 0000</t>
  </si>
  <si>
    <t>19701029 0000</t>
  </si>
  <si>
    <t>19701101 0000</t>
  </si>
  <si>
    <t>19701128 0000</t>
  </si>
  <si>
    <t>19701201 0000</t>
  </si>
  <si>
    <t>19701229 0000</t>
  </si>
  <si>
    <t>19710101 0000</t>
  </si>
  <si>
    <t>19710131 0000</t>
  </si>
  <si>
    <t>19710201 0000</t>
  </si>
  <si>
    <t>19710228 0000</t>
  </si>
  <si>
    <t>19710301 0000</t>
  </si>
  <si>
    <t>19710331 0000</t>
  </si>
  <si>
    <t>19710401 0000</t>
  </si>
  <si>
    <t>19710430 0000</t>
  </si>
  <si>
    <t>19710501 0000</t>
  </si>
  <si>
    <t>19710529 0000</t>
  </si>
  <si>
    <t>19710601 0000</t>
  </si>
  <si>
    <t>19710628 0000</t>
  </si>
  <si>
    <t>19710701 0000</t>
  </si>
  <si>
    <t>19710729 0000</t>
  </si>
  <si>
    <t>19710801 0000</t>
  </si>
  <si>
    <t>19710829 0000</t>
  </si>
  <si>
    <t>19710901 0000</t>
  </si>
  <si>
    <t>19710928 0000</t>
  </si>
  <si>
    <t>19711001 0000</t>
  </si>
  <si>
    <t>19711029 0000</t>
  </si>
  <si>
    <t>19711101 0000</t>
  </si>
  <si>
    <t>19711128 0000</t>
  </si>
  <si>
    <t>19711201 0000</t>
  </si>
  <si>
    <t>19711229 0000</t>
  </si>
  <si>
    <t>19720101 0000</t>
  </si>
  <si>
    <t>19720131 0000</t>
  </si>
  <si>
    <t>19720201 0000</t>
  </si>
  <si>
    <t>19720229 0000</t>
  </si>
  <si>
    <t>19720301 0000</t>
  </si>
  <si>
    <t>19720331 0000</t>
  </si>
  <si>
    <t>19720401 0000</t>
  </si>
  <si>
    <t>19720430 0000</t>
  </si>
  <si>
    <t>19720501 0000</t>
  </si>
  <si>
    <t>19720529 0000</t>
  </si>
  <si>
    <t>19720601 0000</t>
  </si>
  <si>
    <t>19720628 0000</t>
  </si>
  <si>
    <t>19720701 0000</t>
  </si>
  <si>
    <t>19720729 0000</t>
  </si>
  <si>
    <t>19720801 0000</t>
  </si>
  <si>
    <t>19720829 0000</t>
  </si>
  <si>
    <t>19720901 0000</t>
  </si>
  <si>
    <t>19720928 0000</t>
  </si>
  <si>
    <t>19721001 0000</t>
  </si>
  <si>
    <t>19721029 0000</t>
  </si>
  <si>
    <t>19721101 0000</t>
  </si>
  <si>
    <t>19721128 0000</t>
  </si>
  <si>
    <t>19721201 0000</t>
  </si>
  <si>
    <t>19721229 0000</t>
  </si>
  <si>
    <t>19730101 0000</t>
  </si>
  <si>
    <t>19730131 0000</t>
  </si>
  <si>
    <t>19730201 0000</t>
  </si>
  <si>
    <t>19730228 0000</t>
  </si>
  <si>
    <t>19730301 0000</t>
  </si>
  <si>
    <t>19730331 0000</t>
  </si>
  <si>
    <t>19730401 0000</t>
  </si>
  <si>
    <t>19730430 0000</t>
  </si>
  <si>
    <t>19730501 0000</t>
  </si>
  <si>
    <t>19730529 0000</t>
  </si>
  <si>
    <t>19730601 0000</t>
  </si>
  <si>
    <t>19730628 0000</t>
  </si>
  <si>
    <t>19730701 0000</t>
  </si>
  <si>
    <t>19730729 0000</t>
  </si>
  <si>
    <t>19730801 0000</t>
  </si>
  <si>
    <t>19730829 0000</t>
  </si>
  <si>
    <t>19730901 0000</t>
  </si>
  <si>
    <t>19730928 0000</t>
  </si>
  <si>
    <t>19731001 0000</t>
  </si>
  <si>
    <t>19731029 0000</t>
  </si>
  <si>
    <t>19731101 0000</t>
  </si>
  <si>
    <t>19731128 0000</t>
  </si>
  <si>
    <t>19731201 0000</t>
  </si>
  <si>
    <t>19731229 0000</t>
  </si>
  <si>
    <t>19740101 0000</t>
  </si>
  <si>
    <t>19740131 0000</t>
  </si>
  <si>
    <t>19740201 0000</t>
  </si>
  <si>
    <t>19740228 0000</t>
  </si>
  <si>
    <t>19740301 0000</t>
  </si>
  <si>
    <t>19740331 0000</t>
  </si>
  <si>
    <t>19740401 0000</t>
  </si>
  <si>
    <t>19740430 0000</t>
  </si>
  <si>
    <t>19740501 0000</t>
  </si>
  <si>
    <t>19740529 0000</t>
  </si>
  <si>
    <t>19740601 0000</t>
  </si>
  <si>
    <t>19740628 0000</t>
  </si>
  <si>
    <t>19740701 0000</t>
  </si>
  <si>
    <t>19740729 0000</t>
  </si>
  <si>
    <t>19740801 0000</t>
  </si>
  <si>
    <t>19740829 0000</t>
  </si>
  <si>
    <t>19740901 0000</t>
  </si>
  <si>
    <t>19740928 0000</t>
  </si>
  <si>
    <t>19741001 0000</t>
  </si>
  <si>
    <t>19741029 0000</t>
  </si>
  <si>
    <t>19741101 0000</t>
  </si>
  <si>
    <t>19741128 0000</t>
  </si>
  <si>
    <t>19741201 0000</t>
  </si>
  <si>
    <t>19741229 0000</t>
  </si>
  <si>
    <t>19750101 0000</t>
  </si>
  <si>
    <t>19750131 0000</t>
  </si>
  <si>
    <t>19750201 0000</t>
  </si>
  <si>
    <t>19750228 0000</t>
  </si>
  <si>
    <t>19750301 0000</t>
  </si>
  <si>
    <t>19750331 0000</t>
  </si>
  <si>
    <t>19750401 0000</t>
  </si>
  <si>
    <t>19750430 0000</t>
  </si>
  <si>
    <t>19750501 0000</t>
  </si>
  <si>
    <t>19750529 0000</t>
  </si>
  <si>
    <t>19750601 0000</t>
  </si>
  <si>
    <t>19750628 0000</t>
  </si>
  <si>
    <t>19750701 0000</t>
  </si>
  <si>
    <t>19750729 0000</t>
  </si>
  <si>
    <t>19750801 0000</t>
  </si>
  <si>
    <t>19750829 0000</t>
  </si>
  <si>
    <t>19750901 0000</t>
  </si>
  <si>
    <t>19750928 0000</t>
  </si>
  <si>
    <t>19751001 0000</t>
  </si>
  <si>
    <t>19751029 0000</t>
  </si>
  <si>
    <t>19751101 0000</t>
  </si>
  <si>
    <t>19751128 0000</t>
  </si>
  <si>
    <t>19751201 0000</t>
  </si>
  <si>
    <t>19751229 0000</t>
  </si>
  <si>
    <t>19760101 0000</t>
  </si>
  <si>
    <t>19760131 0000</t>
  </si>
  <si>
    <t>19760201 0000</t>
  </si>
  <si>
    <t>19760229 0000</t>
  </si>
  <si>
    <t>19760301 0000</t>
  </si>
  <si>
    <t>19760331 0000</t>
  </si>
  <si>
    <t>19760401 0000</t>
  </si>
  <si>
    <t>19760430 0000</t>
  </si>
  <si>
    <t>19760501 0000</t>
  </si>
  <si>
    <t>19760531 0000</t>
  </si>
  <si>
    <t>19760601 0000</t>
  </si>
  <si>
    <t>19760630 0000</t>
  </si>
  <si>
    <t>19760701 0000</t>
  </si>
  <si>
    <t>19760731 0000</t>
  </si>
  <si>
    <t>19760801 0000</t>
  </si>
  <si>
    <t>19760831 0000</t>
  </si>
  <si>
    <t>19760901 0000</t>
  </si>
  <si>
    <t>19760928 0000</t>
  </si>
  <si>
    <t>19761001 0000</t>
  </si>
  <si>
    <t>19761031 0000</t>
  </si>
  <si>
    <t>19761101 0000</t>
  </si>
  <si>
    <t>19761130 0000</t>
  </si>
  <si>
    <t>19761201 0000</t>
  </si>
  <si>
    <t>19761231 0000</t>
  </si>
  <si>
    <t>19770101 0000</t>
  </si>
  <si>
    <t>19770131 0000</t>
  </si>
  <si>
    <t>19770201 0000</t>
  </si>
  <si>
    <t>19770228 0000</t>
  </si>
  <si>
    <t>19770301 0000</t>
  </si>
  <si>
    <t>19770331 0000</t>
  </si>
  <si>
    <t>19770401 0000</t>
  </si>
  <si>
    <t>19770430 0000</t>
  </si>
  <si>
    <t>19770501 0000</t>
  </si>
  <si>
    <t>19770531 0000</t>
  </si>
  <si>
    <t>19770601 0000</t>
  </si>
  <si>
    <t>19770630 0000</t>
  </si>
  <si>
    <t>19770701 0000</t>
  </si>
  <si>
    <t>19770731 0000</t>
  </si>
  <si>
    <t>19770801 0000</t>
  </si>
  <si>
    <t>19770831 0000</t>
  </si>
  <si>
    <t>19770901 0000</t>
  </si>
  <si>
    <t>19770930 0000</t>
  </si>
  <si>
    <t>19771001 0000</t>
  </si>
  <si>
    <t>19771031 0000</t>
  </si>
  <si>
    <t>19771101 0000</t>
  </si>
  <si>
    <t>19771130 0000</t>
  </si>
  <si>
    <t>19771201 0000</t>
  </si>
  <si>
    <t>19771231 0000</t>
  </si>
  <si>
    <t>19780101 0000</t>
  </si>
  <si>
    <t>19780131 0000</t>
  </si>
  <si>
    <t>19780201 0000</t>
  </si>
  <si>
    <t>19780228 0000</t>
  </si>
  <si>
    <t>19780301 0000</t>
  </si>
  <si>
    <t>19780331 0000</t>
  </si>
  <si>
    <t>19780401 0000</t>
  </si>
  <si>
    <t>19780430 0000</t>
  </si>
  <si>
    <t>19780501 0000</t>
  </si>
  <si>
    <t>19780531 0000</t>
  </si>
  <si>
    <t>19780601 0000</t>
  </si>
  <si>
    <t>19780630 0000</t>
  </si>
  <si>
    <t>19780701 0000</t>
  </si>
  <si>
    <t>19780731 0000</t>
  </si>
  <si>
    <t>19780801 0000</t>
  </si>
  <si>
    <t>19780831 0000</t>
  </si>
  <si>
    <t>19780901 0000</t>
  </si>
  <si>
    <t>19780930 0000</t>
  </si>
  <si>
    <t>19781001 0000</t>
  </si>
  <si>
    <t>19781031 0000</t>
  </si>
  <si>
    <t>19781101 0000</t>
  </si>
  <si>
    <t>19781130 0000</t>
  </si>
  <si>
    <t>19781201 0000</t>
  </si>
  <si>
    <t>19781231 0000</t>
  </si>
  <si>
    <t>19790101 0000</t>
  </si>
  <si>
    <t>19790131 0000</t>
  </si>
  <si>
    <t>19790201 0000</t>
  </si>
  <si>
    <t>19790228 0000</t>
  </si>
  <si>
    <t>19790301 0000</t>
  </si>
  <si>
    <t>19790331 0000</t>
  </si>
  <si>
    <t>19790401 0000</t>
  </si>
  <si>
    <t>19790430 0000</t>
  </si>
  <si>
    <t>19790501 0000</t>
  </si>
  <si>
    <t>19790531 0000</t>
  </si>
  <si>
    <t>19790601 0000</t>
  </si>
  <si>
    <t>19790630 0000</t>
  </si>
  <si>
    <t>19790701 0000</t>
  </si>
  <si>
    <t>19790731 0000</t>
  </si>
  <si>
    <t>19790801 0000</t>
  </si>
  <si>
    <t>19790831 0000</t>
  </si>
  <si>
    <t>19790901 0000</t>
  </si>
  <si>
    <t>19790930 0000</t>
  </si>
  <si>
    <t>19791001 0000</t>
  </si>
  <si>
    <t>19791031 0000</t>
  </si>
  <si>
    <t>19791101 0000</t>
  </si>
  <si>
    <t>19791130 0000</t>
  </si>
  <si>
    <t>19791201 0000</t>
  </si>
  <si>
    <t>19791231 0000</t>
  </si>
  <si>
    <t>19800101 0000</t>
  </si>
  <si>
    <t>19800131 0000</t>
  </si>
  <si>
    <t>19800201 0000</t>
  </si>
  <si>
    <t>19800229 0000</t>
  </si>
  <si>
    <t>19800301 0000</t>
  </si>
  <si>
    <t>19800331 0000</t>
  </si>
  <si>
    <t>19800401 0000</t>
  </si>
  <si>
    <t>19800430 0000</t>
  </si>
  <si>
    <t>19800501 0000</t>
  </si>
  <si>
    <t>19800531 0000</t>
  </si>
  <si>
    <t>19800601 0000</t>
  </si>
  <si>
    <t>19800630 0000</t>
  </si>
  <si>
    <t>19800701 0000</t>
  </si>
  <si>
    <t>19800731 0000</t>
  </si>
  <si>
    <t>19800801 0000</t>
  </si>
  <si>
    <t>19800831 0000</t>
  </si>
  <si>
    <t>19800901 0000</t>
  </si>
  <si>
    <t>19800930 0000</t>
  </si>
  <si>
    <t>19801001 0000</t>
  </si>
  <si>
    <t>19801031 0000</t>
  </si>
  <si>
    <t>19801101 0000</t>
  </si>
  <si>
    <t>19801130 0000</t>
  </si>
  <si>
    <t>19801201 0000</t>
  </si>
  <si>
    <t>19801231 0000</t>
  </si>
  <si>
    <t>19810101 0000</t>
  </si>
  <si>
    <t>19810131 0000</t>
  </si>
  <si>
    <t>19810201 0000</t>
  </si>
  <si>
    <t>19810228 0000</t>
  </si>
  <si>
    <t>19810301 0000</t>
  </si>
  <si>
    <t>19810331 0000</t>
  </si>
  <si>
    <t>19810401 0000</t>
  </si>
  <si>
    <t>19810430 0000</t>
  </si>
  <si>
    <t>19810501 0000</t>
  </si>
  <si>
    <t>19810531 0000</t>
  </si>
  <si>
    <t>19810601 0000</t>
  </si>
  <si>
    <t>19810630 0000</t>
  </si>
  <si>
    <t>19810701 0000</t>
  </si>
  <si>
    <t>19810731 0000</t>
  </si>
  <si>
    <t>19810801 0000</t>
  </si>
  <si>
    <t>19810831 0000</t>
  </si>
  <si>
    <t>19810901 0000</t>
  </si>
  <si>
    <t>19810930 0000</t>
  </si>
  <si>
    <t>19811001 0000</t>
  </si>
  <si>
    <t>19811031 0000</t>
  </si>
  <si>
    <t>19811101 0000</t>
  </si>
  <si>
    <t>19811130 0000</t>
  </si>
  <si>
    <t>19811201 0000</t>
  </si>
  <si>
    <t>19811231 0000</t>
  </si>
  <si>
    <t>19820101 0000</t>
  </si>
  <si>
    <t>19820131 0000</t>
  </si>
  <si>
    <t>19820201 0000</t>
  </si>
  <si>
    <t>19820228 0000</t>
  </si>
  <si>
    <t>19820301 0000</t>
  </si>
  <si>
    <t>19820331 0000</t>
  </si>
  <si>
    <t>19820401 0000</t>
  </si>
  <si>
    <t>19820430 0000</t>
  </si>
  <si>
    <t>19820501 0000</t>
  </si>
  <si>
    <t>19820531 0000</t>
  </si>
  <si>
    <t>19820601 0000</t>
  </si>
  <si>
    <t>19820630 0000</t>
  </si>
  <si>
    <t>19820701 0000</t>
  </si>
  <si>
    <t>19820731 0000</t>
  </si>
  <si>
    <t>19820801 0000</t>
  </si>
  <si>
    <t>19820831 0000</t>
  </si>
  <si>
    <t>19820901 0000</t>
  </si>
  <si>
    <t>19820930 0000</t>
  </si>
  <si>
    <t>19821001 0000</t>
  </si>
  <si>
    <t>19821031 0000</t>
  </si>
  <si>
    <t>19821101 0000</t>
  </si>
  <si>
    <t>19821130 0000</t>
  </si>
  <si>
    <t>19821201 0000</t>
  </si>
  <si>
    <t>19821231 0000</t>
  </si>
  <si>
    <t>19830101 0000</t>
  </si>
  <si>
    <t>19830131 0000</t>
  </si>
  <si>
    <t>19830201 0000</t>
  </si>
  <si>
    <t>19830228 0000</t>
  </si>
  <si>
    <t>19830301 0000</t>
  </si>
  <si>
    <t>19830331 0000</t>
  </si>
  <si>
    <t>19830401 0000</t>
  </si>
  <si>
    <t>19830430 0000</t>
  </si>
  <si>
    <t>19830501 0000</t>
  </si>
  <si>
    <t>19830531 0000</t>
  </si>
  <si>
    <t>19830601 0000</t>
  </si>
  <si>
    <t>19830630 0000</t>
  </si>
  <si>
    <t>19830701 0000</t>
  </si>
  <si>
    <t>19830731 0000</t>
  </si>
  <si>
    <t>19830801 0000</t>
  </si>
  <si>
    <t>19830831 0000</t>
  </si>
  <si>
    <t>19830901 0000</t>
  </si>
  <si>
    <t>19830930 0000</t>
  </si>
  <si>
    <t>19831001 0000</t>
  </si>
  <si>
    <t>19831031 0000</t>
  </si>
  <si>
    <t>19831101 0000</t>
  </si>
  <si>
    <t>19831130 0000</t>
  </si>
  <si>
    <t>19831201 0000</t>
  </si>
  <si>
    <t>19831231 0000</t>
  </si>
  <si>
    <t>19840101 0000</t>
  </si>
  <si>
    <t>19840131 0000</t>
  </si>
  <si>
    <t>19840201 0000</t>
  </si>
  <si>
    <t>19840229 0000</t>
  </si>
  <si>
    <t>19840301 0000</t>
  </si>
  <si>
    <t>19840331 0000</t>
  </si>
  <si>
    <t>19840401 0000</t>
  </si>
  <si>
    <t>19840430 0000</t>
  </si>
  <si>
    <t>19840501 0000</t>
  </si>
  <si>
    <t>19840531 0000</t>
  </si>
  <si>
    <t>19840601 0000</t>
  </si>
  <si>
    <t>19840630 0000</t>
  </si>
  <si>
    <t>19840701 0000</t>
  </si>
  <si>
    <t>19840731 0000</t>
  </si>
  <si>
    <t>19840801 0000</t>
  </si>
  <si>
    <t>19840831 0000</t>
  </si>
  <si>
    <t>19840901 0000</t>
  </si>
  <si>
    <t>19840930 0000</t>
  </si>
  <si>
    <t>19841001 0000</t>
  </si>
  <si>
    <t>19841031 0000</t>
  </si>
  <si>
    <t>19841101 0000</t>
  </si>
  <si>
    <t>19841130 0000</t>
  </si>
  <si>
    <t>19841201 0000</t>
  </si>
  <si>
    <t>19841231 0000</t>
  </si>
  <si>
    <t>19850101 0000</t>
  </si>
  <si>
    <t>19850131 0000</t>
  </si>
  <si>
    <t>19850201 0000</t>
  </si>
  <si>
    <t>19850228 0000</t>
  </si>
  <si>
    <t>19850301 0000</t>
  </si>
  <si>
    <t>19850331 0000</t>
  </si>
  <si>
    <t>19850401 0000</t>
  </si>
  <si>
    <t>19850430 0000</t>
  </si>
  <si>
    <t>19850501 0000</t>
  </si>
  <si>
    <t>19850531 0000</t>
  </si>
  <si>
    <t>19850601 0000</t>
  </si>
  <si>
    <t>19850630 0000</t>
  </si>
  <si>
    <t>19850701 0000</t>
  </si>
  <si>
    <t>19850731 0000</t>
  </si>
  <si>
    <t>19850801 0000</t>
  </si>
  <si>
    <t>19850831 0000</t>
  </si>
  <si>
    <t>19850901 0000</t>
  </si>
  <si>
    <t>19850930 0000</t>
  </si>
  <si>
    <t>19851001 0000</t>
  </si>
  <si>
    <t>19851031 0000</t>
  </si>
  <si>
    <t>19851101 0000</t>
  </si>
  <si>
    <t>19851130 0000</t>
  </si>
  <si>
    <t>19851201 0000</t>
  </si>
  <si>
    <t>19851231 0000</t>
  </si>
  <si>
    <t>19860101 0000</t>
  </si>
  <si>
    <t>19860131 0000</t>
  </si>
  <si>
    <t>19860201 0000</t>
  </si>
  <si>
    <t>19860228 0000</t>
  </si>
  <si>
    <t>19860301 0000</t>
  </si>
  <si>
    <t>19860331 0000</t>
  </si>
  <si>
    <t>19860401 0000</t>
  </si>
  <si>
    <t>19860430 0000</t>
  </si>
  <si>
    <t>19860501 0000</t>
  </si>
  <si>
    <t>19860531 0000</t>
  </si>
  <si>
    <t>19860601 0000</t>
  </si>
  <si>
    <t>19860630 0000</t>
  </si>
  <si>
    <t>19860701 0000</t>
  </si>
  <si>
    <t>19860731 0000</t>
  </si>
  <si>
    <t>19860801 0000</t>
  </si>
  <si>
    <t>19860831 0000</t>
  </si>
  <si>
    <t>19860901 0000</t>
  </si>
  <si>
    <t>19860930 0000</t>
  </si>
  <si>
    <t>19861001 0000</t>
  </si>
  <si>
    <t>19861031 0000</t>
  </si>
  <si>
    <t>19861101 0000</t>
  </si>
  <si>
    <t>19861130 0000</t>
  </si>
  <si>
    <t>19861201 0000</t>
  </si>
  <si>
    <t>19861231 0000</t>
  </si>
  <si>
    <t>19870101 0000</t>
  </si>
  <si>
    <t>19870131 0000</t>
  </si>
  <si>
    <t>19870201 0000</t>
  </si>
  <si>
    <t>19870228 0000</t>
  </si>
  <si>
    <t>19870301 0000</t>
  </si>
  <si>
    <t>19870331 0000</t>
  </si>
  <si>
    <t>19870401 0000</t>
  </si>
  <si>
    <t>19870430 0000</t>
  </si>
  <si>
    <t>19870501 0000</t>
  </si>
  <si>
    <t>19870531 0000</t>
  </si>
  <si>
    <t>19870601 0000</t>
  </si>
  <si>
    <t>19870630 0000</t>
  </si>
  <si>
    <t>19870701 0000</t>
  </si>
  <si>
    <t>19870729 0000</t>
  </si>
  <si>
    <t>19870801 0000</t>
  </si>
  <si>
    <t>19870829 0000</t>
  </si>
  <si>
    <t>19870901 0000</t>
  </si>
  <si>
    <t>19870928 0000</t>
  </si>
  <si>
    <t>19871001 0000</t>
  </si>
  <si>
    <t>19871029 0000</t>
  </si>
  <si>
    <t>19871101 0000</t>
  </si>
  <si>
    <t>19871128 0000</t>
  </si>
  <si>
    <t>19871201 0000</t>
  </si>
  <si>
    <t>19871229 0000</t>
  </si>
  <si>
    <t>19880101 0000</t>
  </si>
  <si>
    <t>19880131 0000</t>
  </si>
  <si>
    <t>19880201 0000</t>
  </si>
  <si>
    <t>19880229 0000</t>
  </si>
  <si>
    <t>19880301 0000</t>
  </si>
  <si>
    <t>19880331 0000</t>
  </si>
  <si>
    <t>19880401 0000</t>
  </si>
  <si>
    <t>19880430 0000</t>
  </si>
  <si>
    <t>19880501 0000</t>
  </si>
  <si>
    <t>19880529 0000</t>
  </si>
  <si>
    <t>19880601 0000</t>
  </si>
  <si>
    <t>19880628 0000</t>
  </si>
  <si>
    <t>19880701 0000</t>
  </si>
  <si>
    <t>19880729 0000</t>
  </si>
  <si>
    <t>19880801 0000</t>
  </si>
  <si>
    <t>19880829 0000</t>
  </si>
  <si>
    <t>19880901 0000</t>
  </si>
  <si>
    <t>19880928 0000</t>
  </si>
  <si>
    <t>19881001 0000</t>
  </si>
  <si>
    <t>19881029 0000</t>
  </si>
  <si>
    <t>19881101 0000</t>
  </si>
  <si>
    <t>19881130 0000</t>
  </si>
  <si>
    <t>19881201 0000</t>
  </si>
  <si>
    <t>19881231 0000</t>
  </si>
  <si>
    <t>19890101 0000</t>
  </si>
  <si>
    <t>19890131 0000</t>
  </si>
  <si>
    <t>19890201 0000</t>
  </si>
  <si>
    <t>19890228 0000</t>
  </si>
  <si>
    <t>19890301 0000</t>
  </si>
  <si>
    <t>19890331 0000</t>
  </si>
  <si>
    <t>19890401 0000</t>
  </si>
  <si>
    <t>19890430 0000</t>
  </si>
  <si>
    <t>19890501 0000</t>
  </si>
  <si>
    <t>19890529 0000</t>
  </si>
  <si>
    <t>19890601 0000</t>
  </si>
  <si>
    <t>19890628 0000</t>
  </si>
  <si>
    <t>19890701 0000</t>
  </si>
  <si>
    <t>19890729 0000</t>
  </si>
  <si>
    <t>19890801 0000</t>
  </si>
  <si>
    <t>19890831 0000</t>
  </si>
  <si>
    <t>19890901 0000</t>
  </si>
  <si>
    <t>19890930 0000</t>
  </si>
  <si>
    <t>19891001 0000</t>
  </si>
  <si>
    <t>19891031 0000</t>
  </si>
  <si>
    <t>19891101 0000</t>
  </si>
  <si>
    <t>19891130 0000</t>
  </si>
  <si>
    <t>19891201 0000</t>
  </si>
  <si>
    <t>19891231 0000</t>
  </si>
  <si>
    <t>19900101 0000</t>
  </si>
  <si>
    <t>19900131 0000</t>
  </si>
  <si>
    <t>19900201 0000</t>
  </si>
  <si>
    <t>19900228 0000</t>
  </si>
  <si>
    <t>19900301 0000</t>
  </si>
  <si>
    <t>19900331 0000</t>
  </si>
  <si>
    <t>19900401 0000</t>
  </si>
  <si>
    <t>19900430 0000</t>
  </si>
  <si>
    <t>19900501 0000</t>
  </si>
  <si>
    <t>19900531 0000</t>
  </si>
  <si>
    <t>19900601 0000</t>
  </si>
  <si>
    <t>19900630 0000</t>
  </si>
  <si>
    <t>19900701 0000</t>
  </si>
  <si>
    <t>19900731 0000</t>
  </si>
  <si>
    <t>19900801 0000</t>
  </si>
  <si>
    <t>19900831 0000</t>
  </si>
  <si>
    <t>19900901 0000</t>
  </si>
  <si>
    <t>19900930 0000</t>
  </si>
  <si>
    <t>19901001 0000</t>
  </si>
  <si>
    <t>19901031 0000</t>
  </si>
  <si>
    <t>19901101 0000</t>
  </si>
  <si>
    <t>19901130 0000</t>
  </si>
  <si>
    <t>19901201 0000</t>
  </si>
  <si>
    <t>19901229 0000</t>
  </si>
  <si>
    <t>19910101 0000</t>
  </si>
  <si>
    <t>19910131 0000</t>
  </si>
  <si>
    <t>19910201 0000</t>
  </si>
  <si>
    <t>19910228 0000</t>
  </si>
  <si>
    <t>19910301 0000</t>
  </si>
  <si>
    <t>19910331 0000</t>
  </si>
  <si>
    <t>19910401 0000</t>
  </si>
  <si>
    <t>19910430 0000</t>
  </si>
  <si>
    <t>19910501 0000</t>
  </si>
  <si>
    <t>19910529 0000</t>
  </si>
  <si>
    <t>19910601 0000</t>
  </si>
  <si>
    <t>19910628 0000</t>
  </si>
  <si>
    <t>19910701 0000</t>
  </si>
  <si>
    <t>19910729 0000</t>
  </si>
  <si>
    <t>19910801 0000</t>
  </si>
  <si>
    <t>19910829 0000</t>
  </si>
  <si>
    <t>19910901 0000</t>
  </si>
  <si>
    <t>19910928 0000</t>
  </si>
  <si>
    <t>19911001 0000</t>
  </si>
  <si>
    <t>19911031 0000</t>
  </si>
  <si>
    <t>19911101 0000</t>
  </si>
  <si>
    <t>19911130 0000</t>
  </si>
  <si>
    <t>19911201 0000</t>
  </si>
  <si>
    <t>19911231 0000</t>
  </si>
  <si>
    <t>19920101 0000</t>
  </si>
  <si>
    <t>19920131 0000</t>
  </si>
  <si>
    <t>19920201 0000</t>
  </si>
  <si>
    <t>19920229 0000</t>
  </si>
  <si>
    <t>19920301 0000</t>
  </si>
  <si>
    <t>19920331 0000</t>
  </si>
  <si>
    <t>19920401 0000</t>
  </si>
  <si>
    <t>19920430 0000</t>
  </si>
  <si>
    <t>19920501 0000</t>
  </si>
  <si>
    <t>19920531 0000</t>
  </si>
  <si>
    <t>19920601 0000</t>
  </si>
  <si>
    <t>19920630 0000</t>
  </si>
  <si>
    <t>19920701 0000</t>
  </si>
  <si>
    <t>19920731 0000</t>
  </si>
  <si>
    <t>19920801 0000</t>
  </si>
  <si>
    <t>19920831 0000</t>
  </si>
  <si>
    <t>19920901 0000</t>
  </si>
  <si>
    <t>19920930 0000</t>
  </si>
  <si>
    <t>19921001 0000</t>
  </si>
  <si>
    <t>19921031 0000</t>
  </si>
  <si>
    <t>19921101 0000</t>
  </si>
  <si>
    <t>19921130 0000</t>
  </si>
  <si>
    <t>19921201 0000</t>
  </si>
  <si>
    <t>19921231 0000</t>
  </si>
  <si>
    <t>19930101 0000</t>
  </si>
  <si>
    <t>19930131 0000</t>
  </si>
  <si>
    <t>19930201 0000</t>
  </si>
  <si>
    <t>19930228 0000</t>
  </si>
  <si>
    <t>19930301 0000</t>
  </si>
  <si>
    <t>19930331 0000</t>
  </si>
  <si>
    <t>19930401 0000</t>
  </si>
  <si>
    <t>19930430 0000</t>
  </si>
  <si>
    <t>19930501 0000</t>
  </si>
  <si>
    <t>19930531 0000</t>
  </si>
  <si>
    <t>19930601 0000</t>
  </si>
  <si>
    <t>19930630 0000</t>
  </si>
  <si>
    <t>19930701 0000</t>
  </si>
  <si>
    <t>19930731 0000</t>
  </si>
  <si>
    <t>19930801 0000</t>
  </si>
  <si>
    <t>19930831 0000</t>
  </si>
  <si>
    <t>19930901 0000</t>
  </si>
  <si>
    <t>19930930 0000</t>
  </si>
  <si>
    <t>19931001 0000</t>
  </si>
  <si>
    <t>19931031 0000</t>
  </si>
  <si>
    <t>19931101 0000</t>
  </si>
  <si>
    <t>19931130 0000</t>
  </si>
  <si>
    <t>19931201 0000</t>
  </si>
  <si>
    <t>19931231 0000</t>
  </si>
  <si>
    <t>19940101 0000</t>
  </si>
  <si>
    <t>19940131 0000</t>
  </si>
  <si>
    <t>19940201 0000</t>
  </si>
  <si>
    <t>19940228 0000</t>
  </si>
  <si>
    <t>19940301 0000</t>
  </si>
  <si>
    <t>19940331 0000</t>
  </si>
  <si>
    <t>19940401 0000</t>
  </si>
  <si>
    <t>19940430 0000</t>
  </si>
  <si>
    <t>19940501 0000</t>
  </si>
  <si>
    <t>19940531 0000</t>
  </si>
  <si>
    <t>19940601 0000</t>
  </si>
  <si>
    <t>19940630 0000</t>
  </si>
  <si>
    <t>19940701 0000</t>
  </si>
  <si>
    <t>19940731 0000</t>
  </si>
  <si>
    <t>19940801 0000</t>
  </si>
  <si>
    <t>19940831 0000</t>
  </si>
  <si>
    <t>19940901 0000</t>
  </si>
  <si>
    <t>19940930 0000</t>
  </si>
  <si>
    <t>19941001 0000</t>
  </si>
  <si>
    <t>19941031 0000</t>
  </si>
  <si>
    <t>19941101 0000</t>
  </si>
  <si>
    <t>19941130 0000</t>
  </si>
  <si>
    <t>19941201 0000</t>
  </si>
  <si>
    <t>19941231 0000</t>
  </si>
  <si>
    <t>19950101 0000</t>
  </si>
  <si>
    <t>19950131 0000</t>
  </si>
  <si>
    <t>19950201 0000</t>
  </si>
  <si>
    <t>19950228 0000</t>
  </si>
  <si>
    <t>19950301 0000</t>
  </si>
  <si>
    <t>19950331 0000</t>
  </si>
  <si>
    <t>19950401 0000</t>
  </si>
  <si>
    <t>19950430 0000</t>
  </si>
  <si>
    <t>19950501 0000</t>
  </si>
  <si>
    <t>19950531 0000</t>
  </si>
  <si>
    <t>19950601 0000</t>
  </si>
  <si>
    <t>19950630 0000</t>
  </si>
  <si>
    <t>19950701 0000</t>
  </si>
  <si>
    <t>19950731 0000</t>
  </si>
  <si>
    <t>19950801 0000</t>
  </si>
  <si>
    <t>19950831 0000</t>
  </si>
  <si>
    <t>19950901 0000</t>
  </si>
  <si>
    <t>19960624 0000</t>
  </si>
  <si>
    <t>19951001 0000</t>
  </si>
  <si>
    <t>19951031 0000</t>
  </si>
  <si>
    <t>19951101 0000</t>
  </si>
  <si>
    <t>19951130 0000</t>
  </si>
  <si>
    <t>19951201 0000</t>
  </si>
  <si>
    <t>19951231 0000</t>
  </si>
  <si>
    <t>19960101 0000</t>
  </si>
  <si>
    <t>19960131 0000</t>
  </si>
  <si>
    <t>19960201 0000</t>
  </si>
  <si>
    <t>19960229 0000</t>
  </si>
  <si>
    <t>19960301 0000</t>
  </si>
  <si>
    <t>19960331 0000</t>
  </si>
  <si>
    <t>19960401 0000</t>
  </si>
  <si>
    <t>19960430 0000</t>
  </si>
  <si>
    <t>19960501 0000</t>
  </si>
  <si>
    <t>19960531 0000</t>
  </si>
  <si>
    <t>19960601 0000</t>
  </si>
  <si>
    <t>19960630 0000</t>
  </si>
  <si>
    <t>19960701 0000</t>
  </si>
  <si>
    <t>19960731 0000</t>
  </si>
  <si>
    <t>19960801 0000</t>
  </si>
  <si>
    <t>19960901 0000</t>
  </si>
  <si>
    <t>19961001 0000</t>
  </si>
  <si>
    <t>19961101 0000</t>
  </si>
  <si>
    <t>19961201 0000</t>
  </si>
  <si>
    <t>19970101 0000</t>
  </si>
  <si>
    <t>19970201 0000</t>
  </si>
  <si>
    <t>19970301 0000</t>
  </si>
  <si>
    <t>19970401 0000</t>
  </si>
  <si>
    <t>19970501 0000</t>
  </si>
  <si>
    <t>19970601 0000</t>
  </si>
  <si>
    <t>19970701 0000</t>
  </si>
  <si>
    <t>19970801 0000</t>
  </si>
  <si>
    <t>19970901 0000</t>
  </si>
  <si>
    <t>19971001 0000</t>
  </si>
  <si>
    <t>19971101 0000</t>
  </si>
  <si>
    <t>19971201 0000</t>
  </si>
  <si>
    <t>19980101 0000</t>
  </si>
  <si>
    <t>19980201 0000</t>
  </si>
  <si>
    <t>19980301 0000</t>
  </si>
  <si>
    <t>19980401 0000</t>
  </si>
  <si>
    <t>19980501 0000</t>
  </si>
  <si>
    <t xml:space="preserve"> </t>
  </si>
  <si>
    <t>19980601 0000</t>
  </si>
  <si>
    <t>19980701 0000</t>
  </si>
  <si>
    <t>19980801 0000</t>
  </si>
  <si>
    <t>19980901 0000</t>
  </si>
  <si>
    <t>19981001 0000</t>
  </si>
  <si>
    <t>19981101 0000</t>
  </si>
  <si>
    <t>19981201 0000</t>
  </si>
  <si>
    <t>19990101 0000</t>
  </si>
  <si>
    <t>19990201 0000</t>
  </si>
  <si>
    <t>19990301 0000</t>
  </si>
  <si>
    <t>19990401 0000</t>
  </si>
  <si>
    <t>19990501 0000</t>
  </si>
  <si>
    <t>19990601 0000</t>
  </si>
  <si>
    <t>19990701 0000</t>
  </si>
  <si>
    <t>19990801 0000</t>
  </si>
  <si>
    <t>19990901 0000</t>
  </si>
  <si>
    <t>19991001 0000</t>
  </si>
  <si>
    <t>19991101 0000</t>
  </si>
  <si>
    <t>19991201 0000</t>
  </si>
  <si>
    <t>20000101 0000</t>
  </si>
  <si>
    <t>20000201 0000</t>
  </si>
  <si>
    <t>20000301 0000</t>
  </si>
  <si>
    <t>20000401 0000</t>
  </si>
  <si>
    <t>20000501 0000</t>
  </si>
  <si>
    <t>20000601 0000</t>
  </si>
  <si>
    <t>20000701 0000</t>
  </si>
  <si>
    <t>20000801 0000</t>
  </si>
  <si>
    <t>20000901 0000</t>
  </si>
  <si>
    <t>20001001 0000</t>
  </si>
  <si>
    <t>20001101 0000</t>
  </si>
  <si>
    <t>20001201 0000</t>
  </si>
  <si>
    <t>20010101 0000</t>
  </si>
  <si>
    <t>20010201 0000</t>
  </si>
  <si>
    <t>20010301 0000</t>
  </si>
  <si>
    <t>20010401 0000</t>
  </si>
  <si>
    <t>20010501 0000</t>
  </si>
  <si>
    <t>20010601 0000</t>
  </si>
  <si>
    <t>20010701 0000</t>
  </si>
  <si>
    <t>20010801 0000</t>
  </si>
  <si>
    <t>20010901 0000</t>
  </si>
  <si>
    <t>20011001 0000</t>
  </si>
  <si>
    <t>20011101 0000</t>
  </si>
  <si>
    <t>20011201 0000</t>
  </si>
  <si>
    <t>20020101 0000</t>
  </si>
  <si>
    <t>20020201 0000</t>
  </si>
  <si>
    <t>20020301 0000</t>
  </si>
  <si>
    <t>20020401 0000</t>
  </si>
  <si>
    <t>20020501 0000</t>
  </si>
  <si>
    <t>20020601 0000</t>
  </si>
  <si>
    <t>20020701 0000</t>
  </si>
  <si>
    <t>20020801 0000</t>
  </si>
  <si>
    <t>20020901 0000</t>
  </si>
  <si>
    <t>20021001 0000</t>
  </si>
  <si>
    <t>20021101 0000</t>
  </si>
  <si>
    <t>20021201 0000</t>
  </si>
  <si>
    <t>20030101 0000</t>
  </si>
  <si>
    <t>20030201 0000</t>
  </si>
  <si>
    <t>20030301 0000</t>
  </si>
  <si>
    <t>20030401 0000</t>
  </si>
  <si>
    <t>20030501 0000</t>
  </si>
  <si>
    <t>20030601 0000</t>
  </si>
  <si>
    <t>20030701 0000</t>
  </si>
  <si>
    <t>20030801 0000</t>
  </si>
  <si>
    <t>20030901 0000</t>
  </si>
  <si>
    <t>20031001 0000</t>
  </si>
  <si>
    <t>r</t>
  </si>
  <si>
    <t>20031101 0000</t>
  </si>
  <si>
    <t>20031201 0000</t>
  </si>
  <si>
    <t>20040101 0000</t>
  </si>
  <si>
    <t>20040201 0000</t>
  </si>
  <si>
    <t>20040301 0000</t>
  </si>
  <si>
    <t>20040401 0000</t>
  </si>
  <si>
    <t>20040501 0000</t>
  </si>
  <si>
    <t>20040601 0000</t>
  </si>
  <si>
    <t>20040701 0000</t>
  </si>
  <si>
    <t>20040801 0000</t>
  </si>
  <si>
    <t>20040901 0000</t>
  </si>
  <si>
    <t>20041001 0000</t>
  </si>
  <si>
    <t>20041101 0000</t>
  </si>
  <si>
    <t>20041201 0000</t>
  </si>
  <si>
    <t>20050101 0000</t>
  </si>
  <si>
    <t>20050201 0000</t>
  </si>
  <si>
    <t>20050301 0000</t>
  </si>
  <si>
    <t>20050401 0000</t>
  </si>
  <si>
    <t>20050501 0000</t>
  </si>
  <si>
    <t>20050601 0000</t>
  </si>
  <si>
    <t>20050701 0000</t>
  </si>
  <si>
    <t>20050801 0000</t>
  </si>
  <si>
    <t>20050901 0000</t>
  </si>
  <si>
    <t>20051001 0000</t>
  </si>
  <si>
    <t>20051101 0000</t>
  </si>
  <si>
    <t>20051201 0000</t>
  </si>
  <si>
    <t>20060101 0000</t>
  </si>
  <si>
    <t>20060201 0000</t>
  </si>
  <si>
    <t>20060301 0000</t>
  </si>
  <si>
    <t>20060401 0000</t>
  </si>
  <si>
    <t>20060501 0000</t>
  </si>
  <si>
    <t>20060601 0000</t>
  </si>
  <si>
    <t>20060701 0000</t>
  </si>
  <si>
    <t>20060801 0000</t>
  </si>
  <si>
    <t>20060901 0000</t>
  </si>
  <si>
    <t>20061001 0000</t>
  </si>
  <si>
    <t>20061101 0000</t>
  </si>
  <si>
    <t>20061201 0000</t>
  </si>
  <si>
    <t>20070101 0000</t>
  </si>
  <si>
    <t>20070201 0000</t>
  </si>
  <si>
    <t>20070301 0000</t>
  </si>
  <si>
    <t>20070401 0000</t>
  </si>
  <si>
    <t>20070501 0000</t>
  </si>
  <si>
    <t>20070601 0000</t>
  </si>
  <si>
    <t>20070701 0000</t>
  </si>
  <si>
    <t>20070801 0000</t>
  </si>
  <si>
    <t>20070901 0000</t>
  </si>
  <si>
    <t>20071001 0000</t>
  </si>
  <si>
    <t>20071101 0000</t>
  </si>
  <si>
    <t>20071201 0000</t>
  </si>
  <si>
    <t>20080101 0000</t>
  </si>
  <si>
    <t>20080201 0000</t>
  </si>
  <si>
    <t>20080301 0000</t>
  </si>
  <si>
    <t>20080401 0000</t>
  </si>
  <si>
    <t>20080501 0000</t>
  </si>
  <si>
    <t>20080601 0000</t>
  </si>
  <si>
    <t>20080701 0000</t>
  </si>
  <si>
    <t>20080801 0000</t>
  </si>
  <si>
    <t>20080901 0000</t>
  </si>
  <si>
    <t>20081001 0000</t>
  </si>
  <si>
    <t>20081101 0000</t>
  </si>
  <si>
    <t>20081201 0000</t>
  </si>
  <si>
    <t>20090101 0000</t>
  </si>
  <si>
    <t>20090201 0000</t>
  </si>
  <si>
    <t>20090301 0000</t>
  </si>
  <si>
    <t>20090401 0000</t>
  </si>
  <si>
    <t>20090501 0000</t>
  </si>
  <si>
    <t>20090601 0000</t>
  </si>
  <si>
    <t>20090701 0000</t>
  </si>
  <si>
    <t>20090801 0000</t>
  </si>
  <si>
    <t>20090901 0000</t>
  </si>
  <si>
    <t>20091001 0000</t>
  </si>
  <si>
    <t>20091101 0000</t>
  </si>
  <si>
    <t>20091201 0000</t>
  </si>
  <si>
    <t>20100101 0000</t>
  </si>
  <si>
    <t>20100201 0000</t>
  </si>
  <si>
    <t>20100301 0000</t>
  </si>
  <si>
    <t>20100401 0000</t>
  </si>
  <si>
    <t>20100501 0000</t>
  </si>
  <si>
    <t>20100601 0000</t>
  </si>
  <si>
    <t>20100701 0000</t>
  </si>
  <si>
    <t>20100801 0000</t>
  </si>
  <si>
    <t>20100901 0000</t>
  </si>
  <si>
    <t>20101001 0000</t>
  </si>
  <si>
    <t>20101101 0000</t>
  </si>
  <si>
    <t>20101201 0000</t>
  </si>
  <si>
    <t>20110101 0000</t>
  </si>
  <si>
    <t>20110201 0000</t>
  </si>
  <si>
    <t>20110301 0000</t>
  </si>
  <si>
    <t>20110401 0000</t>
  </si>
  <si>
    <t>20110501 0000</t>
  </si>
  <si>
    <t>20110601 0000</t>
  </si>
  <si>
    <t>20110701 0000</t>
  </si>
  <si>
    <t>20110801 0000</t>
  </si>
  <si>
    <t>20110901 0000</t>
  </si>
  <si>
    <t>20111001 0000</t>
  </si>
  <si>
    <t>20111101 0000</t>
  </si>
  <si>
    <t>20111201 0000</t>
  </si>
  <si>
    <t>20120101 0000</t>
  </si>
  <si>
    <t>20120201 0000</t>
  </si>
  <si>
    <t>20120301 0000</t>
  </si>
  <si>
    <t>20120401 0000</t>
  </si>
  <si>
    <t>20120501 0000</t>
  </si>
  <si>
    <t>20120601 0000</t>
  </si>
  <si>
    <t>20120701 0000</t>
  </si>
  <si>
    <t>20120801 0000</t>
  </si>
  <si>
    <t>20120901 0000</t>
  </si>
  <si>
    <t>20121001 0000</t>
  </si>
  <si>
    <t>20121101 0000</t>
  </si>
  <si>
    <t>20121201 0000</t>
  </si>
  <si>
    <t>20130101 0000</t>
  </si>
  <si>
    <t>20130201 0000</t>
  </si>
  <si>
    <t>20130301 0000</t>
  </si>
  <si>
    <t>20130401 0000</t>
  </si>
  <si>
    <t>20130501 0000</t>
  </si>
  <si>
    <t>20130601 0000</t>
  </si>
  <si>
    <t>20130701 0000</t>
  </si>
  <si>
    <t>20130801 0000</t>
  </si>
  <si>
    <t>20130901 0000</t>
  </si>
  <si>
    <t>20131001 0000</t>
  </si>
  <si>
    <t>20131101 0000</t>
  </si>
  <si>
    <t>20131201 0000</t>
  </si>
  <si>
    <t>20140101 0000</t>
  </si>
  <si>
    <t>20140201 0000</t>
  </si>
  <si>
    <t>20140301 0000</t>
  </si>
  <si>
    <t>20140401 0000</t>
  </si>
  <si>
    <t>20140501 0000</t>
  </si>
  <si>
    <t>20140601 0000</t>
  </si>
  <si>
    <t>20140701 0000</t>
  </si>
  <si>
    <t>20140801 0000</t>
  </si>
  <si>
    <t>20140901 0000</t>
  </si>
  <si>
    <t>20141001 0000</t>
  </si>
  <si>
    <t>20141101 0000</t>
  </si>
  <si>
    <t>20141201 0000</t>
  </si>
  <si>
    <t>20150101 0000</t>
  </si>
  <si>
    <t>20150201 0000</t>
  </si>
  <si>
    <t>20150301 0000</t>
  </si>
  <si>
    <t>20150401 0000</t>
  </si>
  <si>
    <t>20150501 0000</t>
  </si>
  <si>
    <t>20150601 0000</t>
  </si>
  <si>
    <t>20150701 0000</t>
  </si>
  <si>
    <t>20150801 0000</t>
  </si>
  <si>
    <t>20150901 0000</t>
  </si>
  <si>
    <t>20151001 0000</t>
  </si>
  <si>
    <t>20151101 0000</t>
  </si>
  <si>
    <t>20151201 0000</t>
  </si>
  <si>
    <t>20160101 0000</t>
  </si>
  <si>
    <t>20160201 0000</t>
  </si>
  <si>
    <t>20160301 0000</t>
  </si>
  <si>
    <t>20160401 0000</t>
  </si>
  <si>
    <t>20160501 0000</t>
  </si>
  <si>
    <t>20160601 0000</t>
  </si>
  <si>
    <t>20160701 0000</t>
  </si>
  <si>
    <t>20160801 0000</t>
  </si>
  <si>
    <t>20160901 0000</t>
  </si>
  <si>
    <t>20161001 0000</t>
  </si>
  <si>
    <t>20161101 0000</t>
  </si>
  <si>
    <t>20161201 0000</t>
  </si>
  <si>
    <t>20170101 0000</t>
  </si>
  <si>
    <t>20170201 0000</t>
  </si>
  <si>
    <t>20170301 0000</t>
  </si>
  <si>
    <t>20170401 0000</t>
  </si>
  <si>
    <t>20170501 0000</t>
  </si>
  <si>
    <t>20170601 0000</t>
  </si>
  <si>
    <t>20170701 0000</t>
  </si>
  <si>
    <t>20170801 0000</t>
  </si>
  <si>
    <t>20170901 0000</t>
  </si>
  <si>
    <t>20171001 0000</t>
  </si>
  <si>
    <t>20171101 0000</t>
  </si>
  <si>
    <t>20171201 0000</t>
  </si>
  <si>
    <t>20180101 0000</t>
  </si>
  <si>
    <t>20180201 0000</t>
  </si>
  <si>
    <t>20180301 0000</t>
  </si>
  <si>
    <t>20180401 0000</t>
  </si>
  <si>
    <t>20180501 0000</t>
  </si>
  <si>
    <t>20180601 0000</t>
  </si>
  <si>
    <t>20180701 0000</t>
  </si>
  <si>
    <t>20180801 0000</t>
  </si>
  <si>
    <t>20180901 0000</t>
  </si>
  <si>
    <t>20181001 0000</t>
  </si>
  <si>
    <t>20181101 0000</t>
  </si>
  <si>
    <t>20181201 0000</t>
  </si>
  <si>
    <t>20190101 0000</t>
  </si>
  <si>
    <t>20190201 0000</t>
  </si>
  <si>
    <t>20190301 0000</t>
  </si>
  <si>
    <t>20190401 0000</t>
  </si>
  <si>
    <t>20190501 0000</t>
  </si>
  <si>
    <t>20190601 0000</t>
  </si>
  <si>
    <t>20190701 0000</t>
  </si>
  <si>
    <t>20190801 0000</t>
  </si>
  <si>
    <t>20190901 0000</t>
  </si>
  <si>
    <t>20191001 0000</t>
  </si>
  <si>
    <t>20191101 0000</t>
  </si>
  <si>
    <t>20191201 0000</t>
  </si>
  <si>
    <t>20200101 0000</t>
  </si>
  <si>
    <t>20200201 0000</t>
  </si>
  <si>
    <t>20200301 0000</t>
  </si>
  <si>
    <t>20200401 0000</t>
  </si>
  <si>
    <t>20200501 0000</t>
  </si>
  <si>
    <t>20200601 0000</t>
  </si>
  <si>
    <t>20200701 0000</t>
  </si>
  <si>
    <t>20200801 0000</t>
  </si>
  <si>
    <t>20200901 0000</t>
  </si>
  <si>
    <t>e</t>
  </si>
  <si>
    <t>20201001 0000</t>
  </si>
  <si>
    <t>20201101 0000</t>
  </si>
  <si>
    <t>20201201 0000</t>
  </si>
  <si>
    <t>20210101 0000</t>
  </si>
  <si>
    <t>20210201 0000</t>
  </si>
  <si>
    <t>20210301 0000</t>
  </si>
  <si>
    <t>20210401 0000</t>
  </si>
  <si>
    <t>20210501 0000</t>
  </si>
  <si>
    <t>20210601 0000</t>
  </si>
  <si>
    <t>20210701 0000</t>
  </si>
  <si>
    <t>20210801 0000</t>
  </si>
  <si>
    <t>20210901 0000</t>
  </si>
  <si>
    <t>20211001 0000</t>
  </si>
  <si>
    <t>20211101 0000</t>
  </si>
  <si>
    <t>20211201 0000</t>
  </si>
  <si>
    <t>20220101 0000</t>
  </si>
  <si>
    <t>20220201 0000</t>
  </si>
  <si>
    <t>20220301 0000</t>
  </si>
  <si>
    <t>20220401 0000</t>
  </si>
  <si>
    <t>20220501 0000</t>
  </si>
  <si>
    <t>20220601 0000</t>
  </si>
  <si>
    <t>&lt;&lt;- Added mannually 11/6/2022</t>
  </si>
  <si>
    <t>WY</t>
  </si>
  <si>
    <t>Feb-Jun_AF</t>
  </si>
  <si>
    <t>Feb-Jun_TAF</t>
  </si>
  <si>
    <t>F-J 40%</t>
  </si>
  <si>
    <t>rank</t>
  </si>
  <si>
    <t>percentile</t>
  </si>
  <si>
    <t>Ann_AF</t>
  </si>
  <si>
    <t>Ann_TAF</t>
  </si>
  <si>
    <t>Annual_FNF</t>
  </si>
  <si>
    <t>Annual_OF</t>
  </si>
  <si>
    <t>Bin</t>
  </si>
  <si>
    <t>More</t>
  </si>
  <si>
    <t>Frequency</t>
  </si>
  <si>
    <t>Average Annual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</si>
</sst>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-webkit-standard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14" fontId="18" fillId="0" borderId="0" xfId="0" applyNumberFormat="1" applyFont="1"/>
    <xf numFmtId="3" fontId="18" fillId="0" borderId="0" xfId="0" applyNumberFormat="1" applyFont="1"/>
    <xf numFmtId="0" fontId="19" fillId="0" borderId="0" xfId="43"/>
    <xf numFmtId="49" fontId="16" fillId="0" borderId="0" xfId="0" applyNumberFormat="1" applyFont="1"/>
    <xf numFmtId="10" fontId="0" fillId="0" borderId="0" xfId="1" applyNumberFormat="1" applyFont="1"/>
    <xf numFmtId="0" fontId="0" fillId="0" borderId="10" xfId="0" applyBorder="1"/>
    <xf numFmtId="0" fontId="21" fillId="0" borderId="11" xfId="0" applyFont="1" applyBorder="1" applyAlignment="1">
      <alignment horizontal="center"/>
    </xf>
    <xf numFmtId="2" fontId="0" fillId="0" borderId="0" xfId="1" applyNumberFormat="1" applyFont="1"/>
    <xf numFmtId="1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Annual Flow Volume (TAF)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ANNUAL!$J$2:$J$123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cat>
          <c:val>
            <c:numRef>
              <c:f>ANNUAL!$K$2:$K$123</c:f>
              <c:numCache>
                <c:formatCode>General</c:formatCode>
                <c:ptCount val="122"/>
                <c:pt idx="0">
                  <c:v>2920.9</c:v>
                </c:pt>
                <c:pt idx="1">
                  <c:v>1589.84</c:v>
                </c:pt>
                <c:pt idx="2">
                  <c:v>1877.35</c:v>
                </c:pt>
                <c:pt idx="3">
                  <c:v>2439.4</c:v>
                </c:pt>
                <c:pt idx="4">
                  <c:v>1630.72</c:v>
                </c:pt>
                <c:pt idx="5">
                  <c:v>3610.02</c:v>
                </c:pt>
                <c:pt idx="6">
                  <c:v>3749.5</c:v>
                </c:pt>
                <c:pt idx="7">
                  <c:v>1023.56</c:v>
                </c:pt>
                <c:pt idx="8">
                  <c:v>2669.4</c:v>
                </c:pt>
                <c:pt idx="9">
                  <c:v>2131.6999999999998</c:v>
                </c:pt>
                <c:pt idx="10">
                  <c:v>3422.1</c:v>
                </c:pt>
                <c:pt idx="11">
                  <c:v>1050.98</c:v>
                </c:pt>
                <c:pt idx="12">
                  <c:v>1081.33</c:v>
                </c:pt>
                <c:pt idx="13">
                  <c:v>2623.7</c:v>
                </c:pt>
                <c:pt idx="14">
                  <c:v>2044.88</c:v>
                </c:pt>
                <c:pt idx="15">
                  <c:v>2498.17</c:v>
                </c:pt>
                <c:pt idx="16">
                  <c:v>2223.0300000000002</c:v>
                </c:pt>
                <c:pt idx="17">
                  <c:v>1461.59</c:v>
                </c:pt>
                <c:pt idx="18">
                  <c:v>1347.18</c:v>
                </c:pt>
                <c:pt idx="19">
                  <c:v>1342.31</c:v>
                </c:pt>
                <c:pt idx="20">
                  <c:v>2017.93</c:v>
                </c:pt>
                <c:pt idx="21">
                  <c:v>2470.92</c:v>
                </c:pt>
                <c:pt idx="22">
                  <c:v>1785.98</c:v>
                </c:pt>
                <c:pt idx="23">
                  <c:v>542.63</c:v>
                </c:pt>
                <c:pt idx="24">
                  <c:v>1932.12</c:v>
                </c:pt>
                <c:pt idx="25">
                  <c:v>1109.9100000000001</c:v>
                </c:pt>
                <c:pt idx="26">
                  <c:v>2051.4</c:v>
                </c:pt>
                <c:pt idx="27">
                  <c:v>1525.02</c:v>
                </c:pt>
                <c:pt idx="28">
                  <c:v>979.04</c:v>
                </c:pt>
                <c:pt idx="29">
                  <c:v>1147.57</c:v>
                </c:pt>
                <c:pt idx="30">
                  <c:v>602.29</c:v>
                </c:pt>
                <c:pt idx="31">
                  <c:v>2114.25</c:v>
                </c:pt>
                <c:pt idx="32">
                  <c:v>1104.3699999999999</c:v>
                </c:pt>
                <c:pt idx="33">
                  <c:v>807.22</c:v>
                </c:pt>
                <c:pt idx="34">
                  <c:v>2102.87</c:v>
                </c:pt>
                <c:pt idx="35">
                  <c:v>2160.21</c:v>
                </c:pt>
                <c:pt idx="36">
                  <c:v>1997.01</c:v>
                </c:pt>
                <c:pt idx="37">
                  <c:v>3424.33</c:v>
                </c:pt>
                <c:pt idx="38">
                  <c:v>981.01</c:v>
                </c:pt>
                <c:pt idx="39">
                  <c:v>2212.84</c:v>
                </c:pt>
                <c:pt idx="40">
                  <c:v>2489.36</c:v>
                </c:pt>
                <c:pt idx="41">
                  <c:v>2355.52</c:v>
                </c:pt>
                <c:pt idx="42">
                  <c:v>2369.81</c:v>
                </c:pt>
                <c:pt idx="43">
                  <c:v>1295.31</c:v>
                </c:pt>
                <c:pt idx="44">
                  <c:v>2085.7399999999998</c:v>
                </c:pt>
                <c:pt idx="45">
                  <c:v>1879.31</c:v>
                </c:pt>
                <c:pt idx="46">
                  <c:v>1094.18</c:v>
                </c:pt>
                <c:pt idx="47">
                  <c:v>1408.55</c:v>
                </c:pt>
                <c:pt idx="48">
                  <c:v>1246.1300000000001</c:v>
                </c:pt>
                <c:pt idx="49">
                  <c:v>1546.36</c:v>
                </c:pt>
                <c:pt idx="50">
                  <c:v>2475.1799999999998</c:v>
                </c:pt>
                <c:pt idx="51">
                  <c:v>2982.36</c:v>
                </c:pt>
                <c:pt idx="52">
                  <c:v>1525.4</c:v>
                </c:pt>
                <c:pt idx="53">
                  <c:v>1429.18</c:v>
                </c:pt>
                <c:pt idx="54">
                  <c:v>1123.7</c:v>
                </c:pt>
                <c:pt idx="55">
                  <c:v>3152.84</c:v>
                </c:pt>
                <c:pt idx="56">
                  <c:v>1417.57</c:v>
                </c:pt>
                <c:pt idx="57">
                  <c:v>2638.37</c:v>
                </c:pt>
                <c:pt idx="58">
                  <c:v>989.61</c:v>
                </c:pt>
                <c:pt idx="59">
                  <c:v>1052.3800000000001</c:v>
                </c:pt>
                <c:pt idx="60">
                  <c:v>732.39</c:v>
                </c:pt>
                <c:pt idx="61">
                  <c:v>1765.95</c:v>
                </c:pt>
                <c:pt idx="62">
                  <c:v>2041.16</c:v>
                </c:pt>
                <c:pt idx="63">
                  <c:v>1130.28</c:v>
                </c:pt>
                <c:pt idx="64">
                  <c:v>2738.37</c:v>
                </c:pt>
                <c:pt idx="65">
                  <c:v>1306.0999999999999</c:v>
                </c:pt>
                <c:pt idx="66">
                  <c:v>3104.61</c:v>
                </c:pt>
                <c:pt idx="67">
                  <c:v>1006.63</c:v>
                </c:pt>
                <c:pt idx="68">
                  <c:v>3852.26</c:v>
                </c:pt>
                <c:pt idx="69">
                  <c:v>1962.3810000000001</c:v>
                </c:pt>
                <c:pt idx="70">
                  <c:v>1683.134</c:v>
                </c:pt>
                <c:pt idx="71">
                  <c:v>1206.6120000000001</c:v>
                </c:pt>
                <c:pt idx="72">
                  <c:v>2030.6959999999999</c:v>
                </c:pt>
                <c:pt idx="73">
                  <c:v>2238.9</c:v>
                </c:pt>
                <c:pt idx="74">
                  <c:v>2032.671</c:v>
                </c:pt>
                <c:pt idx="75">
                  <c:v>670.59799999999996</c:v>
                </c:pt>
                <c:pt idx="76">
                  <c:v>382.661</c:v>
                </c:pt>
                <c:pt idx="77">
                  <c:v>2902.9989999999998</c:v>
                </c:pt>
                <c:pt idx="78">
                  <c:v>1913.644</c:v>
                </c:pt>
                <c:pt idx="79">
                  <c:v>3045.1329999999998</c:v>
                </c:pt>
                <c:pt idx="80">
                  <c:v>1055.5160000000001</c:v>
                </c:pt>
                <c:pt idx="81">
                  <c:v>3805.777</c:v>
                </c:pt>
                <c:pt idx="82">
                  <c:v>4631.3990000000003</c:v>
                </c:pt>
                <c:pt idx="83">
                  <c:v>2470.768</c:v>
                </c:pt>
                <c:pt idx="84">
                  <c:v>1228.6130000000001</c:v>
                </c:pt>
                <c:pt idx="85">
                  <c:v>2970.8960000000002</c:v>
                </c:pt>
                <c:pt idx="86">
                  <c:v>655.59100000000001</c:v>
                </c:pt>
                <c:pt idx="87">
                  <c:v>820.85</c:v>
                </c:pt>
                <c:pt idx="88">
                  <c:v>1311.9069999999999</c:v>
                </c:pt>
                <c:pt idx="89">
                  <c:v>842.59100000000001</c:v>
                </c:pt>
                <c:pt idx="90">
                  <c:v>1099.079</c:v>
                </c:pt>
                <c:pt idx="91">
                  <c:v>835.02</c:v>
                </c:pt>
                <c:pt idx="92">
                  <c:v>2623.56</c:v>
                </c:pt>
                <c:pt idx="93">
                  <c:v>884.68499999999995</c:v>
                </c:pt>
                <c:pt idx="94">
                  <c:v>3921.8049999999998</c:v>
                </c:pt>
                <c:pt idx="95">
                  <c:v>2316.317</c:v>
                </c:pt>
                <c:pt idx="96">
                  <c:v>3223.6990000000001</c:v>
                </c:pt>
                <c:pt idx="97">
                  <c:v>3338.33</c:v>
                </c:pt>
                <c:pt idx="98">
                  <c:v>2127.4059999999999</c:v>
                </c:pt>
                <c:pt idx="99">
                  <c:v>2019.248</c:v>
                </c:pt>
                <c:pt idx="100">
                  <c:v>1033.624</c:v>
                </c:pt>
                <c:pt idx="101">
                  <c:v>1401.47</c:v>
                </c:pt>
                <c:pt idx="102">
                  <c:v>1627.0940000000001</c:v>
                </c:pt>
                <c:pt idx="103">
                  <c:v>1321.123</c:v>
                </c:pt>
                <c:pt idx="104">
                  <c:v>3005.9560000000001</c:v>
                </c:pt>
                <c:pt idx="105">
                  <c:v>3312.91</c:v>
                </c:pt>
                <c:pt idx="106">
                  <c:v>848.66800000000001</c:v>
                </c:pt>
                <c:pt idx="107">
                  <c:v>1128.7919999999999</c:v>
                </c:pt>
                <c:pt idx="108">
                  <c:v>1665.107</c:v>
                </c:pt>
                <c:pt idx="109">
                  <c:v>1887.5429999999999</c:v>
                </c:pt>
                <c:pt idx="110">
                  <c:v>3524.2539999999999</c:v>
                </c:pt>
                <c:pt idx="111">
                  <c:v>875.46900000000005</c:v>
                </c:pt>
                <c:pt idx="112">
                  <c:v>1087.1479999999999</c:v>
                </c:pt>
                <c:pt idx="113">
                  <c:v>600.53700000000003</c:v>
                </c:pt>
                <c:pt idx="114">
                  <c:v>598.85799999999995</c:v>
                </c:pt>
                <c:pt idx="115">
                  <c:v>1818.6189999999999</c:v>
                </c:pt>
                <c:pt idx="116">
                  <c:v>4862.1090000000004</c:v>
                </c:pt>
                <c:pt idx="117">
                  <c:v>1672.895</c:v>
                </c:pt>
                <c:pt idx="118">
                  <c:v>2984.04</c:v>
                </c:pt>
                <c:pt idx="119">
                  <c:v>969.87900000000002</c:v>
                </c:pt>
                <c:pt idx="120">
                  <c:v>607.322</c:v>
                </c:pt>
                <c:pt idx="121">
                  <c:v>1071.039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5942-AC42-9F2D7CA59F4C}"/>
            </c:ext>
          </c:extLst>
        </c:ser>
        <c:ser>
          <c:idx val="2"/>
          <c:order val="2"/>
          <c:tx>
            <c:v>Mean Annual Volume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ANNUAL!$J$2:$J$123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cat>
          <c:val>
            <c:numRef>
              <c:f>ANNUAL!$N$2:$N$123</c:f>
              <c:numCache>
                <c:formatCode>0</c:formatCode>
                <c:ptCount val="122"/>
                <c:pt idx="0">
                  <c:v>1886.8699344262288</c:v>
                </c:pt>
                <c:pt idx="1">
                  <c:v>1886.8699344262288</c:v>
                </c:pt>
                <c:pt idx="2">
                  <c:v>1886.8699344262288</c:v>
                </c:pt>
                <c:pt idx="3">
                  <c:v>1886.8699344262288</c:v>
                </c:pt>
                <c:pt idx="4">
                  <c:v>1886.8699344262288</c:v>
                </c:pt>
                <c:pt idx="5">
                  <c:v>1886.8699344262288</c:v>
                </c:pt>
                <c:pt idx="6">
                  <c:v>1886.8699344262288</c:v>
                </c:pt>
                <c:pt idx="7">
                  <c:v>1886.8699344262288</c:v>
                </c:pt>
                <c:pt idx="8">
                  <c:v>1886.8699344262288</c:v>
                </c:pt>
                <c:pt idx="9">
                  <c:v>1886.8699344262288</c:v>
                </c:pt>
                <c:pt idx="10">
                  <c:v>1886.8699344262288</c:v>
                </c:pt>
                <c:pt idx="11">
                  <c:v>1886.8699344262288</c:v>
                </c:pt>
                <c:pt idx="12">
                  <c:v>1886.8699344262288</c:v>
                </c:pt>
                <c:pt idx="13">
                  <c:v>1886.8699344262288</c:v>
                </c:pt>
                <c:pt idx="14">
                  <c:v>1886.8699344262288</c:v>
                </c:pt>
                <c:pt idx="15">
                  <c:v>1886.8699344262288</c:v>
                </c:pt>
                <c:pt idx="16">
                  <c:v>1886.8699344262288</c:v>
                </c:pt>
                <c:pt idx="17">
                  <c:v>1886.8699344262288</c:v>
                </c:pt>
                <c:pt idx="18">
                  <c:v>1886.8699344262288</c:v>
                </c:pt>
                <c:pt idx="19">
                  <c:v>1886.8699344262288</c:v>
                </c:pt>
                <c:pt idx="20">
                  <c:v>1886.8699344262288</c:v>
                </c:pt>
                <c:pt idx="21">
                  <c:v>1886.8699344262288</c:v>
                </c:pt>
                <c:pt idx="22">
                  <c:v>1886.8699344262288</c:v>
                </c:pt>
                <c:pt idx="23">
                  <c:v>1886.8699344262288</c:v>
                </c:pt>
                <c:pt idx="24">
                  <c:v>1886.8699344262288</c:v>
                </c:pt>
                <c:pt idx="25">
                  <c:v>1886.8699344262288</c:v>
                </c:pt>
                <c:pt idx="26">
                  <c:v>1886.8699344262288</c:v>
                </c:pt>
                <c:pt idx="27">
                  <c:v>1886.8699344262288</c:v>
                </c:pt>
                <c:pt idx="28">
                  <c:v>1886.8699344262288</c:v>
                </c:pt>
                <c:pt idx="29">
                  <c:v>1886.8699344262288</c:v>
                </c:pt>
                <c:pt idx="30">
                  <c:v>1886.8699344262288</c:v>
                </c:pt>
                <c:pt idx="31">
                  <c:v>1886.8699344262288</c:v>
                </c:pt>
                <c:pt idx="32">
                  <c:v>1886.8699344262288</c:v>
                </c:pt>
                <c:pt idx="33">
                  <c:v>1886.8699344262288</c:v>
                </c:pt>
                <c:pt idx="34">
                  <c:v>1886.8699344262288</c:v>
                </c:pt>
                <c:pt idx="35">
                  <c:v>1886.8699344262288</c:v>
                </c:pt>
                <c:pt idx="36">
                  <c:v>1886.8699344262288</c:v>
                </c:pt>
                <c:pt idx="37">
                  <c:v>1886.8699344262288</c:v>
                </c:pt>
                <c:pt idx="38">
                  <c:v>1886.8699344262288</c:v>
                </c:pt>
                <c:pt idx="39">
                  <c:v>1886.8699344262288</c:v>
                </c:pt>
                <c:pt idx="40">
                  <c:v>1886.8699344262288</c:v>
                </c:pt>
                <c:pt idx="41">
                  <c:v>1886.8699344262288</c:v>
                </c:pt>
                <c:pt idx="42">
                  <c:v>1886.8699344262288</c:v>
                </c:pt>
                <c:pt idx="43">
                  <c:v>1886.8699344262288</c:v>
                </c:pt>
                <c:pt idx="44">
                  <c:v>1886.8699344262288</c:v>
                </c:pt>
                <c:pt idx="45">
                  <c:v>1886.8699344262288</c:v>
                </c:pt>
                <c:pt idx="46">
                  <c:v>1886.8699344262288</c:v>
                </c:pt>
                <c:pt idx="47">
                  <c:v>1886.8699344262288</c:v>
                </c:pt>
                <c:pt idx="48">
                  <c:v>1886.8699344262288</c:v>
                </c:pt>
                <c:pt idx="49">
                  <c:v>1886.8699344262288</c:v>
                </c:pt>
                <c:pt idx="50">
                  <c:v>1886.8699344262288</c:v>
                </c:pt>
                <c:pt idx="51">
                  <c:v>1886.8699344262288</c:v>
                </c:pt>
                <c:pt idx="52">
                  <c:v>1886.8699344262288</c:v>
                </c:pt>
                <c:pt idx="53">
                  <c:v>1886.8699344262288</c:v>
                </c:pt>
                <c:pt idx="54">
                  <c:v>1886.8699344262288</c:v>
                </c:pt>
                <c:pt idx="55">
                  <c:v>1886.8699344262288</c:v>
                </c:pt>
                <c:pt idx="56">
                  <c:v>1886.8699344262288</c:v>
                </c:pt>
                <c:pt idx="57">
                  <c:v>1886.8699344262288</c:v>
                </c:pt>
                <c:pt idx="58">
                  <c:v>1886.8699344262288</c:v>
                </c:pt>
                <c:pt idx="59">
                  <c:v>1886.8699344262288</c:v>
                </c:pt>
                <c:pt idx="60">
                  <c:v>1886.8699344262288</c:v>
                </c:pt>
                <c:pt idx="61">
                  <c:v>1886.8699344262288</c:v>
                </c:pt>
                <c:pt idx="62">
                  <c:v>1886.8699344262288</c:v>
                </c:pt>
                <c:pt idx="63">
                  <c:v>1886.8699344262288</c:v>
                </c:pt>
                <c:pt idx="64">
                  <c:v>1886.8699344262288</c:v>
                </c:pt>
                <c:pt idx="65">
                  <c:v>1886.8699344262288</c:v>
                </c:pt>
                <c:pt idx="66">
                  <c:v>1886.8699344262288</c:v>
                </c:pt>
                <c:pt idx="67">
                  <c:v>1886.8699344262288</c:v>
                </c:pt>
                <c:pt idx="68">
                  <c:v>1886.8699344262288</c:v>
                </c:pt>
                <c:pt idx="69">
                  <c:v>1886.8699344262288</c:v>
                </c:pt>
                <c:pt idx="70">
                  <c:v>1886.8699344262288</c:v>
                </c:pt>
                <c:pt idx="71">
                  <c:v>1886.8699344262288</c:v>
                </c:pt>
                <c:pt idx="72">
                  <c:v>1886.8699344262288</c:v>
                </c:pt>
                <c:pt idx="73">
                  <c:v>1886.8699344262288</c:v>
                </c:pt>
                <c:pt idx="74">
                  <c:v>1886.8699344262288</c:v>
                </c:pt>
                <c:pt idx="75">
                  <c:v>1886.8699344262288</c:v>
                </c:pt>
                <c:pt idx="76">
                  <c:v>1886.8699344262288</c:v>
                </c:pt>
                <c:pt idx="77">
                  <c:v>1886.8699344262288</c:v>
                </c:pt>
                <c:pt idx="78">
                  <c:v>1886.8699344262288</c:v>
                </c:pt>
                <c:pt idx="79">
                  <c:v>1886.8699344262288</c:v>
                </c:pt>
                <c:pt idx="80">
                  <c:v>1886.8699344262288</c:v>
                </c:pt>
                <c:pt idx="81">
                  <c:v>1886.8699344262288</c:v>
                </c:pt>
                <c:pt idx="82">
                  <c:v>1886.8699344262288</c:v>
                </c:pt>
                <c:pt idx="83">
                  <c:v>1886.8699344262288</c:v>
                </c:pt>
                <c:pt idx="84">
                  <c:v>1886.8699344262288</c:v>
                </c:pt>
                <c:pt idx="85">
                  <c:v>1886.8699344262288</c:v>
                </c:pt>
                <c:pt idx="86">
                  <c:v>1886.8699344262288</c:v>
                </c:pt>
                <c:pt idx="87">
                  <c:v>1886.8699344262288</c:v>
                </c:pt>
                <c:pt idx="88">
                  <c:v>1886.8699344262288</c:v>
                </c:pt>
                <c:pt idx="89">
                  <c:v>1886.8699344262288</c:v>
                </c:pt>
                <c:pt idx="90">
                  <c:v>1886.8699344262288</c:v>
                </c:pt>
                <c:pt idx="91">
                  <c:v>1886.8699344262288</c:v>
                </c:pt>
                <c:pt idx="92">
                  <c:v>1886.8699344262288</c:v>
                </c:pt>
                <c:pt idx="93">
                  <c:v>1886.8699344262288</c:v>
                </c:pt>
                <c:pt idx="94">
                  <c:v>1886.8699344262288</c:v>
                </c:pt>
                <c:pt idx="95">
                  <c:v>1886.8699344262288</c:v>
                </c:pt>
                <c:pt idx="96">
                  <c:v>1886.8699344262288</c:v>
                </c:pt>
                <c:pt idx="97">
                  <c:v>1886.8699344262288</c:v>
                </c:pt>
                <c:pt idx="98">
                  <c:v>1886.8699344262288</c:v>
                </c:pt>
                <c:pt idx="99">
                  <c:v>1886.8699344262288</c:v>
                </c:pt>
                <c:pt idx="100">
                  <c:v>1886.8699344262288</c:v>
                </c:pt>
                <c:pt idx="101">
                  <c:v>1886.8699344262288</c:v>
                </c:pt>
                <c:pt idx="102">
                  <c:v>1886.8699344262288</c:v>
                </c:pt>
                <c:pt idx="103">
                  <c:v>1886.8699344262288</c:v>
                </c:pt>
                <c:pt idx="104">
                  <c:v>1886.8699344262288</c:v>
                </c:pt>
                <c:pt idx="105">
                  <c:v>1886.8699344262288</c:v>
                </c:pt>
                <c:pt idx="106">
                  <c:v>1886.8699344262288</c:v>
                </c:pt>
                <c:pt idx="107">
                  <c:v>1886.8699344262288</c:v>
                </c:pt>
                <c:pt idx="108">
                  <c:v>1886.8699344262288</c:v>
                </c:pt>
                <c:pt idx="109">
                  <c:v>1886.8699344262288</c:v>
                </c:pt>
                <c:pt idx="110">
                  <c:v>1886.8699344262288</c:v>
                </c:pt>
                <c:pt idx="111">
                  <c:v>1886.8699344262288</c:v>
                </c:pt>
                <c:pt idx="112">
                  <c:v>1886.8699344262288</c:v>
                </c:pt>
                <c:pt idx="113">
                  <c:v>1886.8699344262288</c:v>
                </c:pt>
                <c:pt idx="114">
                  <c:v>1886.8699344262288</c:v>
                </c:pt>
                <c:pt idx="115">
                  <c:v>1886.8699344262288</c:v>
                </c:pt>
                <c:pt idx="116">
                  <c:v>1886.8699344262288</c:v>
                </c:pt>
                <c:pt idx="117">
                  <c:v>1886.8699344262288</c:v>
                </c:pt>
                <c:pt idx="118">
                  <c:v>1886.8699344262288</c:v>
                </c:pt>
                <c:pt idx="119">
                  <c:v>1886.8699344262288</c:v>
                </c:pt>
                <c:pt idx="120">
                  <c:v>1886.8699344262288</c:v>
                </c:pt>
                <c:pt idx="121">
                  <c:v>1886.8699344262288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45-5942-AC42-9F2D7CA5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919776"/>
        <c:axId val="640183823"/>
      </c:lineChart>
      <c:lineChart>
        <c:grouping val="standard"/>
        <c:varyColors val="0"/>
        <c:ser>
          <c:idx val="1"/>
          <c:order val="1"/>
          <c:tx>
            <c:v>Percentile of Annual Flow</c:v>
          </c:tx>
          <c:spPr>
            <a:ln w="952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ANNUAL!$J$2:$J$123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cat>
          <c:val>
            <c:numRef>
              <c:f>ANNUAL!$M$2:$M$123</c:f>
              <c:numCache>
                <c:formatCode>0.00</c:formatCode>
                <c:ptCount val="122"/>
                <c:pt idx="0">
                  <c:v>0.83606557377049195</c:v>
                </c:pt>
                <c:pt idx="1">
                  <c:v>0.45081967213114754</c:v>
                </c:pt>
                <c:pt idx="2">
                  <c:v>0.52459016393442626</c:v>
                </c:pt>
                <c:pt idx="3">
                  <c:v>0.73770491803278693</c:v>
                </c:pt>
                <c:pt idx="4">
                  <c:v>0.46721311475409838</c:v>
                </c:pt>
                <c:pt idx="5">
                  <c:v>0.95081967213114749</c:v>
                </c:pt>
                <c:pt idx="6">
                  <c:v>0.95901639344262291</c:v>
                </c:pt>
                <c:pt idx="7">
                  <c:v>0.18032786885245902</c:v>
                </c:pt>
                <c:pt idx="8">
                  <c:v>0.81147540983606559</c:v>
                </c:pt>
                <c:pt idx="9">
                  <c:v>0.67213114754098358</c:v>
                </c:pt>
                <c:pt idx="10">
                  <c:v>0.92622950819672134</c:v>
                </c:pt>
                <c:pt idx="11">
                  <c:v>0.19672131147540983</c:v>
                </c:pt>
                <c:pt idx="12">
                  <c:v>0.22950819672131148</c:v>
                </c:pt>
                <c:pt idx="13">
                  <c:v>0.79508196721311475</c:v>
                </c:pt>
                <c:pt idx="14">
                  <c:v>0.62295081967213117</c:v>
                </c:pt>
                <c:pt idx="15">
                  <c:v>0.77868852459016391</c:v>
                </c:pt>
                <c:pt idx="16">
                  <c:v>0.69672131147540983</c:v>
                </c:pt>
                <c:pt idx="17">
                  <c:v>0.41803278688524592</c:v>
                </c:pt>
                <c:pt idx="18">
                  <c:v>0.37704918032786883</c:v>
                </c:pt>
                <c:pt idx="19">
                  <c:v>0.36885245901639346</c:v>
                </c:pt>
                <c:pt idx="20">
                  <c:v>0.58196721311475408</c:v>
                </c:pt>
                <c:pt idx="21">
                  <c:v>0.75409836065573765</c:v>
                </c:pt>
                <c:pt idx="22">
                  <c:v>0.50819672131147542</c:v>
                </c:pt>
                <c:pt idx="23">
                  <c:v>1.6393442622950821E-2</c:v>
                </c:pt>
                <c:pt idx="24">
                  <c:v>0.55737704918032782</c:v>
                </c:pt>
                <c:pt idx="25">
                  <c:v>0.27049180327868855</c:v>
                </c:pt>
                <c:pt idx="26">
                  <c:v>0.63114754098360659</c:v>
                </c:pt>
                <c:pt idx="27">
                  <c:v>0.42622950819672129</c:v>
                </c:pt>
                <c:pt idx="28">
                  <c:v>0.14754098360655737</c:v>
                </c:pt>
                <c:pt idx="29">
                  <c:v>0.30327868852459017</c:v>
                </c:pt>
                <c:pt idx="30">
                  <c:v>4.0983606557377046E-2</c:v>
                </c:pt>
                <c:pt idx="31">
                  <c:v>0.65573770491803274</c:v>
                </c:pt>
                <c:pt idx="32">
                  <c:v>0.26229508196721313</c:v>
                </c:pt>
                <c:pt idx="33">
                  <c:v>8.1967213114754092E-2</c:v>
                </c:pt>
                <c:pt idx="34">
                  <c:v>0.64754098360655743</c:v>
                </c:pt>
                <c:pt idx="35">
                  <c:v>0.68032786885245899</c:v>
                </c:pt>
                <c:pt idx="36">
                  <c:v>0.57377049180327866</c:v>
                </c:pt>
                <c:pt idx="37">
                  <c:v>0.93442622950819676</c:v>
                </c:pt>
                <c:pt idx="38">
                  <c:v>0.15573770491803279</c:v>
                </c:pt>
                <c:pt idx="39">
                  <c:v>0.68852459016393441</c:v>
                </c:pt>
                <c:pt idx="40">
                  <c:v>0.77049180327868849</c:v>
                </c:pt>
                <c:pt idx="41">
                  <c:v>0.72131147540983609</c:v>
                </c:pt>
                <c:pt idx="42">
                  <c:v>0.72950819672131151</c:v>
                </c:pt>
                <c:pt idx="43">
                  <c:v>0.33606557377049179</c:v>
                </c:pt>
                <c:pt idx="44">
                  <c:v>0.63934426229508201</c:v>
                </c:pt>
                <c:pt idx="45">
                  <c:v>0.53278688524590168</c:v>
                </c:pt>
                <c:pt idx="46">
                  <c:v>0.24590163934426229</c:v>
                </c:pt>
                <c:pt idx="47">
                  <c:v>0.39344262295081966</c:v>
                </c:pt>
                <c:pt idx="48">
                  <c:v>0.32786885245901637</c:v>
                </c:pt>
                <c:pt idx="49">
                  <c:v>0.44262295081967212</c:v>
                </c:pt>
                <c:pt idx="50">
                  <c:v>0.76229508196721307</c:v>
                </c:pt>
                <c:pt idx="51">
                  <c:v>0.85245901639344257</c:v>
                </c:pt>
                <c:pt idx="52">
                  <c:v>0.4344262295081967</c:v>
                </c:pt>
                <c:pt idx="53">
                  <c:v>0.4098360655737705</c:v>
                </c:pt>
                <c:pt idx="54">
                  <c:v>0.27868852459016391</c:v>
                </c:pt>
                <c:pt idx="55">
                  <c:v>0.89344262295081966</c:v>
                </c:pt>
                <c:pt idx="56">
                  <c:v>0.40163934426229508</c:v>
                </c:pt>
                <c:pt idx="57">
                  <c:v>0.80327868852459017</c:v>
                </c:pt>
                <c:pt idx="58">
                  <c:v>0.16393442622950818</c:v>
                </c:pt>
                <c:pt idx="59">
                  <c:v>0.20491803278688525</c:v>
                </c:pt>
                <c:pt idx="60">
                  <c:v>7.3770491803278687E-2</c:v>
                </c:pt>
                <c:pt idx="61">
                  <c:v>0.5</c:v>
                </c:pt>
                <c:pt idx="62">
                  <c:v>0.61475409836065575</c:v>
                </c:pt>
                <c:pt idx="63">
                  <c:v>0.29508196721311475</c:v>
                </c:pt>
                <c:pt idx="64">
                  <c:v>0.81967213114754101</c:v>
                </c:pt>
                <c:pt idx="65">
                  <c:v>0.34426229508196721</c:v>
                </c:pt>
                <c:pt idx="66">
                  <c:v>0.88524590163934425</c:v>
                </c:pt>
                <c:pt idx="67">
                  <c:v>0.1721311475409836</c:v>
                </c:pt>
                <c:pt idx="68">
                  <c:v>0.97540983606557374</c:v>
                </c:pt>
                <c:pt idx="69">
                  <c:v>0.56557377049180324</c:v>
                </c:pt>
                <c:pt idx="70">
                  <c:v>0.49180327868852458</c:v>
                </c:pt>
                <c:pt idx="71">
                  <c:v>0.31147540983606559</c:v>
                </c:pt>
                <c:pt idx="72">
                  <c:v>0.59836065573770492</c:v>
                </c:pt>
                <c:pt idx="73">
                  <c:v>0.70491803278688525</c:v>
                </c:pt>
                <c:pt idx="74">
                  <c:v>0.60655737704918034</c:v>
                </c:pt>
                <c:pt idx="75">
                  <c:v>6.5573770491803282E-2</c:v>
                </c:pt>
                <c:pt idx="76">
                  <c:v>8.1967213114754103E-3</c:v>
                </c:pt>
                <c:pt idx="77">
                  <c:v>0.82786885245901642</c:v>
                </c:pt>
                <c:pt idx="78">
                  <c:v>0.54918032786885251</c:v>
                </c:pt>
                <c:pt idx="79">
                  <c:v>0.87704918032786883</c:v>
                </c:pt>
                <c:pt idx="80">
                  <c:v>0.21311475409836064</c:v>
                </c:pt>
                <c:pt idx="81">
                  <c:v>0.96721311475409832</c:v>
                </c:pt>
                <c:pt idx="82">
                  <c:v>0.99180327868852458</c:v>
                </c:pt>
                <c:pt idx="83">
                  <c:v>0.74590163934426235</c:v>
                </c:pt>
                <c:pt idx="84">
                  <c:v>0.31967213114754101</c:v>
                </c:pt>
                <c:pt idx="85">
                  <c:v>0.84426229508196726</c:v>
                </c:pt>
                <c:pt idx="86">
                  <c:v>5.737704918032787E-2</c:v>
                </c:pt>
                <c:pt idx="87">
                  <c:v>9.0163934426229511E-2</c:v>
                </c:pt>
                <c:pt idx="88">
                  <c:v>0.35245901639344263</c:v>
                </c:pt>
                <c:pt idx="89">
                  <c:v>0.10655737704918032</c:v>
                </c:pt>
                <c:pt idx="90">
                  <c:v>0.25409836065573771</c:v>
                </c:pt>
                <c:pt idx="91">
                  <c:v>9.8360655737704916E-2</c:v>
                </c:pt>
                <c:pt idx="92">
                  <c:v>0.78688524590163933</c:v>
                </c:pt>
                <c:pt idx="93">
                  <c:v>0.13114754098360656</c:v>
                </c:pt>
                <c:pt idx="94">
                  <c:v>0.98360655737704916</c:v>
                </c:pt>
                <c:pt idx="95">
                  <c:v>0.71311475409836067</c:v>
                </c:pt>
                <c:pt idx="96">
                  <c:v>0.90163934426229508</c:v>
                </c:pt>
                <c:pt idx="97">
                  <c:v>0.91803278688524592</c:v>
                </c:pt>
                <c:pt idx="98">
                  <c:v>0.66393442622950816</c:v>
                </c:pt>
                <c:pt idx="99">
                  <c:v>0.5901639344262295</c:v>
                </c:pt>
                <c:pt idx="100">
                  <c:v>0.18852459016393441</c:v>
                </c:pt>
                <c:pt idx="101">
                  <c:v>0.38524590163934425</c:v>
                </c:pt>
                <c:pt idx="102">
                  <c:v>0.45901639344262296</c:v>
                </c:pt>
                <c:pt idx="103">
                  <c:v>0.36065573770491804</c:v>
                </c:pt>
                <c:pt idx="104">
                  <c:v>0.86885245901639341</c:v>
                </c:pt>
                <c:pt idx="105">
                  <c:v>0.9098360655737705</c:v>
                </c:pt>
                <c:pt idx="106">
                  <c:v>0.11475409836065574</c:v>
                </c:pt>
                <c:pt idx="107">
                  <c:v>0.28688524590163933</c:v>
                </c:pt>
                <c:pt idx="108">
                  <c:v>0.47540983606557374</c:v>
                </c:pt>
                <c:pt idx="109">
                  <c:v>0.54098360655737709</c:v>
                </c:pt>
                <c:pt idx="110">
                  <c:v>0.94262295081967218</c:v>
                </c:pt>
                <c:pt idx="111">
                  <c:v>0.12295081967213115</c:v>
                </c:pt>
                <c:pt idx="112">
                  <c:v>0.23770491803278687</c:v>
                </c:pt>
                <c:pt idx="113">
                  <c:v>3.2786885245901641E-2</c:v>
                </c:pt>
                <c:pt idx="114">
                  <c:v>2.4590163934426229E-2</c:v>
                </c:pt>
                <c:pt idx="115">
                  <c:v>0.51639344262295084</c:v>
                </c:pt>
                <c:pt idx="116">
                  <c:v>1</c:v>
                </c:pt>
                <c:pt idx="117">
                  <c:v>0.48360655737704916</c:v>
                </c:pt>
                <c:pt idx="118">
                  <c:v>0.86065573770491799</c:v>
                </c:pt>
                <c:pt idx="119">
                  <c:v>0.13934426229508196</c:v>
                </c:pt>
                <c:pt idx="120">
                  <c:v>4.9180327868852458E-2</c:v>
                </c:pt>
                <c:pt idx="121">
                  <c:v>0.22131147540983606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5-5942-AC42-9F2D7CA5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524047"/>
        <c:axId val="340969375"/>
      </c:lineChart>
      <c:catAx>
        <c:axId val="188791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83823"/>
        <c:crosses val="autoZero"/>
        <c:auto val="1"/>
        <c:lblAlgn val="ctr"/>
        <c:lblOffset val="100"/>
        <c:noMultiLvlLbl val="0"/>
      </c:catAx>
      <c:valAx>
        <c:axId val="640183823"/>
        <c:scaling>
          <c:orientation val="minMax"/>
          <c:max val="5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accent1"/>
                    </a:solidFill>
                  </a:rPr>
                  <a:t>Annual Flow Volume (TAF)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19776"/>
        <c:crosses val="autoZero"/>
        <c:crossBetween val="between"/>
      </c:valAx>
      <c:valAx>
        <c:axId val="340969375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accent2"/>
                    </a:solidFill>
                  </a:rPr>
                  <a:t>Water Volume Percentile [0-1]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24047"/>
        <c:crosses val="max"/>
        <c:crossBetween val="between"/>
      </c:valAx>
      <c:catAx>
        <c:axId val="1873524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096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6</xdr:row>
      <xdr:rowOff>107950</xdr:rowOff>
    </xdr:from>
    <xdr:to>
      <xdr:col>26</xdr:col>
      <xdr:colOff>215900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32DC2-EE3E-2065-8D27-9D1B18603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dec4gov.water.ca.gov/misc/flaglist.html" TargetMode="External"/><Relationship Id="rId13" Type="http://schemas.openxmlformats.org/officeDocument/2006/relationships/hyperlink" Target="http://cdec4gov.water.ca.gov/misc/flaglist.html" TargetMode="External"/><Relationship Id="rId18" Type="http://schemas.openxmlformats.org/officeDocument/2006/relationships/hyperlink" Target="http://cdec4gov.water.ca.gov/misc/flaglist.html" TargetMode="External"/><Relationship Id="rId3" Type="http://schemas.openxmlformats.org/officeDocument/2006/relationships/hyperlink" Target="http://cdec4gov.water.ca.gov/misc/flaglist.html" TargetMode="External"/><Relationship Id="rId21" Type="http://schemas.openxmlformats.org/officeDocument/2006/relationships/hyperlink" Target="http://cdec4gov.water.ca.gov/misc/flaglist.html" TargetMode="External"/><Relationship Id="rId7" Type="http://schemas.openxmlformats.org/officeDocument/2006/relationships/hyperlink" Target="http://cdec4gov.water.ca.gov/misc/flaglist.html" TargetMode="External"/><Relationship Id="rId12" Type="http://schemas.openxmlformats.org/officeDocument/2006/relationships/hyperlink" Target="http://cdec4gov.water.ca.gov/misc/flaglist.html" TargetMode="External"/><Relationship Id="rId17" Type="http://schemas.openxmlformats.org/officeDocument/2006/relationships/hyperlink" Target="http://cdec4gov.water.ca.gov/misc/flaglist.html" TargetMode="External"/><Relationship Id="rId2" Type="http://schemas.openxmlformats.org/officeDocument/2006/relationships/hyperlink" Target="http://cdec4gov.water.ca.gov/misc/flaglist.html" TargetMode="External"/><Relationship Id="rId16" Type="http://schemas.openxmlformats.org/officeDocument/2006/relationships/hyperlink" Target="http://cdec4gov.water.ca.gov/misc/flaglist.html" TargetMode="External"/><Relationship Id="rId20" Type="http://schemas.openxmlformats.org/officeDocument/2006/relationships/hyperlink" Target="http://cdec4gov.water.ca.gov/misc/flaglist.html" TargetMode="External"/><Relationship Id="rId1" Type="http://schemas.openxmlformats.org/officeDocument/2006/relationships/hyperlink" Target="http://cdec4gov.water.ca.gov/misc/flaglist.html" TargetMode="External"/><Relationship Id="rId6" Type="http://schemas.openxmlformats.org/officeDocument/2006/relationships/hyperlink" Target="http://cdec4gov.water.ca.gov/misc/flaglist.html" TargetMode="External"/><Relationship Id="rId11" Type="http://schemas.openxmlformats.org/officeDocument/2006/relationships/hyperlink" Target="http://cdec4gov.water.ca.gov/misc/flaglist.html" TargetMode="External"/><Relationship Id="rId5" Type="http://schemas.openxmlformats.org/officeDocument/2006/relationships/hyperlink" Target="http://cdec4gov.water.ca.gov/misc/flaglist.html" TargetMode="External"/><Relationship Id="rId15" Type="http://schemas.openxmlformats.org/officeDocument/2006/relationships/hyperlink" Target="http://cdec4gov.water.ca.gov/misc/flaglist.html" TargetMode="External"/><Relationship Id="rId10" Type="http://schemas.openxmlformats.org/officeDocument/2006/relationships/hyperlink" Target="http://cdec4gov.water.ca.gov/misc/flaglist.html" TargetMode="External"/><Relationship Id="rId19" Type="http://schemas.openxmlformats.org/officeDocument/2006/relationships/hyperlink" Target="http://cdec4gov.water.ca.gov/misc/flaglist.html" TargetMode="External"/><Relationship Id="rId4" Type="http://schemas.openxmlformats.org/officeDocument/2006/relationships/hyperlink" Target="http://cdec4gov.water.ca.gov/misc/flaglist.html" TargetMode="External"/><Relationship Id="rId9" Type="http://schemas.openxmlformats.org/officeDocument/2006/relationships/hyperlink" Target="http://cdec4gov.water.ca.gov/misc/flaglist.html" TargetMode="External"/><Relationship Id="rId14" Type="http://schemas.openxmlformats.org/officeDocument/2006/relationships/hyperlink" Target="http://cdec4gov.water.ca.gov/misc/flaglist.html" TargetMode="External"/><Relationship Id="rId22" Type="http://schemas.openxmlformats.org/officeDocument/2006/relationships/hyperlink" Target="http://cdec4gov.water.ca.gov/misc/flaglist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6"/>
  <sheetViews>
    <sheetView workbookViewId="0">
      <selection activeCell="G13" sqref="G2:G13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65</v>
      </c>
      <c r="D2" t="s">
        <v>11</v>
      </c>
      <c r="E2" t="s">
        <v>12</v>
      </c>
      <c r="F2" t="s">
        <v>13</v>
      </c>
      <c r="G2">
        <v>79000</v>
      </c>
      <c r="I2" t="s">
        <v>14</v>
      </c>
    </row>
    <row r="3" spans="1:9">
      <c r="A3" t="s">
        <v>9</v>
      </c>
      <c r="B3" t="s">
        <v>10</v>
      </c>
      <c r="C3">
        <v>65</v>
      </c>
      <c r="D3" t="s">
        <v>11</v>
      </c>
      <c r="E3" t="s">
        <v>15</v>
      </c>
      <c r="F3" t="s">
        <v>13</v>
      </c>
      <c r="G3">
        <v>159000</v>
      </c>
      <c r="I3" t="s">
        <v>14</v>
      </c>
    </row>
    <row r="4" spans="1:9">
      <c r="A4" t="s">
        <v>9</v>
      </c>
      <c r="B4" t="s">
        <v>10</v>
      </c>
      <c r="C4">
        <v>65</v>
      </c>
      <c r="D4" t="s">
        <v>11</v>
      </c>
      <c r="E4" t="s">
        <v>16</v>
      </c>
      <c r="F4" t="s">
        <v>13</v>
      </c>
      <c r="G4">
        <v>85300</v>
      </c>
      <c r="I4" t="s">
        <v>14</v>
      </c>
    </row>
    <row r="5" spans="1:9">
      <c r="A5" t="s">
        <v>9</v>
      </c>
      <c r="B5" t="s">
        <v>10</v>
      </c>
      <c r="C5">
        <v>65</v>
      </c>
      <c r="D5" t="s">
        <v>11</v>
      </c>
      <c r="E5" t="s">
        <v>17</v>
      </c>
      <c r="F5" t="s">
        <v>13</v>
      </c>
      <c r="G5">
        <v>223000</v>
      </c>
      <c r="I5" t="s">
        <v>14</v>
      </c>
    </row>
    <row r="6" spans="1:9">
      <c r="A6" t="s">
        <v>9</v>
      </c>
      <c r="B6" t="s">
        <v>10</v>
      </c>
      <c r="C6">
        <v>65</v>
      </c>
      <c r="D6" t="s">
        <v>11</v>
      </c>
      <c r="E6" t="s">
        <v>18</v>
      </c>
      <c r="F6" t="s">
        <v>13</v>
      </c>
      <c r="G6">
        <v>436000</v>
      </c>
      <c r="I6" t="s">
        <v>14</v>
      </c>
    </row>
    <row r="7" spans="1:9">
      <c r="A7" t="s">
        <v>9</v>
      </c>
      <c r="B7" t="s">
        <v>10</v>
      </c>
      <c r="C7">
        <v>65</v>
      </c>
      <c r="D7" t="s">
        <v>11</v>
      </c>
      <c r="E7" t="s">
        <v>19</v>
      </c>
      <c r="F7" t="s">
        <v>13</v>
      </c>
      <c r="G7">
        <v>245000</v>
      </c>
      <c r="I7" t="s">
        <v>14</v>
      </c>
    </row>
    <row r="8" spans="1:9">
      <c r="A8" t="s">
        <v>9</v>
      </c>
      <c r="B8" t="s">
        <v>10</v>
      </c>
      <c r="C8">
        <v>65</v>
      </c>
      <c r="D8" t="s">
        <v>11</v>
      </c>
      <c r="E8" t="s">
        <v>20</v>
      </c>
      <c r="F8" t="s">
        <v>13</v>
      </c>
      <c r="G8">
        <v>257000</v>
      </c>
      <c r="I8" t="s">
        <v>14</v>
      </c>
    </row>
    <row r="9" spans="1:9">
      <c r="A9" t="s">
        <v>9</v>
      </c>
      <c r="B9" t="s">
        <v>10</v>
      </c>
      <c r="C9">
        <v>65</v>
      </c>
      <c r="D9" t="s">
        <v>11</v>
      </c>
      <c r="E9" t="s">
        <v>21</v>
      </c>
      <c r="F9" t="s">
        <v>13</v>
      </c>
      <c r="G9">
        <v>532000</v>
      </c>
      <c r="I9" t="s">
        <v>14</v>
      </c>
    </row>
    <row r="10" spans="1:9">
      <c r="A10" t="s">
        <v>9</v>
      </c>
      <c r="B10" t="s">
        <v>10</v>
      </c>
      <c r="C10">
        <v>65</v>
      </c>
      <c r="D10" t="s">
        <v>11</v>
      </c>
      <c r="E10" t="s">
        <v>22</v>
      </c>
      <c r="F10" t="s">
        <v>13</v>
      </c>
      <c r="G10">
        <v>590000</v>
      </c>
      <c r="I10" t="s">
        <v>14</v>
      </c>
    </row>
    <row r="11" spans="1:9">
      <c r="A11" t="s">
        <v>9</v>
      </c>
      <c r="B11" t="s">
        <v>10</v>
      </c>
      <c r="C11">
        <v>65</v>
      </c>
      <c r="D11" t="s">
        <v>11</v>
      </c>
      <c r="E11" t="s">
        <v>23</v>
      </c>
      <c r="F11" t="s">
        <v>13</v>
      </c>
      <c r="G11">
        <v>252000</v>
      </c>
      <c r="I11" t="s">
        <v>14</v>
      </c>
    </row>
    <row r="12" spans="1:9">
      <c r="A12" t="s">
        <v>9</v>
      </c>
      <c r="B12" t="s">
        <v>10</v>
      </c>
      <c r="C12">
        <v>65</v>
      </c>
      <c r="D12" t="s">
        <v>11</v>
      </c>
      <c r="E12" t="s">
        <v>24</v>
      </c>
      <c r="F12" t="s">
        <v>13</v>
      </c>
      <c r="G12">
        <v>51900</v>
      </c>
      <c r="I12" t="s">
        <v>14</v>
      </c>
    </row>
    <row r="13" spans="1:9">
      <c r="A13" t="s">
        <v>9</v>
      </c>
      <c r="B13" t="s">
        <v>10</v>
      </c>
      <c r="C13">
        <v>65</v>
      </c>
      <c r="D13" t="s">
        <v>11</v>
      </c>
      <c r="E13" t="s">
        <v>25</v>
      </c>
      <c r="F13" t="s">
        <v>13</v>
      </c>
      <c r="G13">
        <v>10700</v>
      </c>
      <c r="I13" t="s">
        <v>14</v>
      </c>
    </row>
    <row r="14" spans="1:9">
      <c r="A14" t="s">
        <v>9</v>
      </c>
      <c r="B14" t="s">
        <v>10</v>
      </c>
      <c r="C14">
        <v>65</v>
      </c>
      <c r="D14" t="s">
        <v>11</v>
      </c>
      <c r="E14" t="s">
        <v>26</v>
      </c>
      <c r="F14" t="s">
        <v>13</v>
      </c>
      <c r="G14">
        <v>13700</v>
      </c>
      <c r="I14" t="s">
        <v>14</v>
      </c>
    </row>
    <row r="15" spans="1:9">
      <c r="A15" t="s">
        <v>9</v>
      </c>
      <c r="B15" t="s">
        <v>10</v>
      </c>
      <c r="C15">
        <v>65</v>
      </c>
      <c r="D15" t="s">
        <v>11</v>
      </c>
      <c r="E15" t="s">
        <v>27</v>
      </c>
      <c r="F15" t="s">
        <v>13</v>
      </c>
      <c r="G15">
        <v>35900</v>
      </c>
      <c r="I15" t="s">
        <v>14</v>
      </c>
    </row>
    <row r="16" spans="1:9">
      <c r="A16" t="s">
        <v>9</v>
      </c>
      <c r="B16" t="s">
        <v>10</v>
      </c>
      <c r="C16">
        <v>65</v>
      </c>
      <c r="D16" t="s">
        <v>11</v>
      </c>
      <c r="E16" t="s">
        <v>28</v>
      </c>
      <c r="F16" t="s">
        <v>13</v>
      </c>
      <c r="G16">
        <v>86400</v>
      </c>
      <c r="I16" t="s">
        <v>14</v>
      </c>
    </row>
    <row r="17" spans="1:9">
      <c r="A17" t="s">
        <v>9</v>
      </c>
      <c r="B17" t="s">
        <v>10</v>
      </c>
      <c r="C17">
        <v>65</v>
      </c>
      <c r="D17" t="s">
        <v>11</v>
      </c>
      <c r="E17" t="s">
        <v>29</v>
      </c>
      <c r="F17" t="s">
        <v>13</v>
      </c>
      <c r="G17">
        <v>22500</v>
      </c>
      <c r="I17" t="s">
        <v>14</v>
      </c>
    </row>
    <row r="18" spans="1:9">
      <c r="A18" t="s">
        <v>9</v>
      </c>
      <c r="B18" t="s">
        <v>10</v>
      </c>
      <c r="C18">
        <v>65</v>
      </c>
      <c r="D18" t="s">
        <v>11</v>
      </c>
      <c r="E18" t="s">
        <v>30</v>
      </c>
      <c r="F18" t="s">
        <v>13</v>
      </c>
      <c r="G18">
        <v>84000</v>
      </c>
      <c r="I18" t="s">
        <v>14</v>
      </c>
    </row>
    <row r="19" spans="1:9">
      <c r="A19" t="s">
        <v>9</v>
      </c>
      <c r="B19" t="s">
        <v>10</v>
      </c>
      <c r="C19">
        <v>65</v>
      </c>
      <c r="D19" t="s">
        <v>11</v>
      </c>
      <c r="E19" t="s">
        <v>31</v>
      </c>
      <c r="F19" t="s">
        <v>13</v>
      </c>
      <c r="G19">
        <v>139000</v>
      </c>
      <c r="I19" t="s">
        <v>14</v>
      </c>
    </row>
    <row r="20" spans="1:9">
      <c r="A20" t="s">
        <v>9</v>
      </c>
      <c r="B20" t="s">
        <v>10</v>
      </c>
      <c r="C20">
        <v>65</v>
      </c>
      <c r="D20" t="s">
        <v>11</v>
      </c>
      <c r="E20" t="s">
        <v>32</v>
      </c>
      <c r="F20" t="s">
        <v>13</v>
      </c>
      <c r="G20">
        <v>292000</v>
      </c>
      <c r="I20" t="s">
        <v>14</v>
      </c>
    </row>
    <row r="21" spans="1:9">
      <c r="A21" t="s">
        <v>9</v>
      </c>
      <c r="B21" t="s">
        <v>10</v>
      </c>
      <c r="C21">
        <v>65</v>
      </c>
      <c r="D21" t="s">
        <v>11</v>
      </c>
      <c r="E21" t="s">
        <v>33</v>
      </c>
      <c r="F21" t="s">
        <v>13</v>
      </c>
      <c r="G21">
        <v>398000</v>
      </c>
      <c r="I21" t="s">
        <v>14</v>
      </c>
    </row>
    <row r="22" spans="1:9">
      <c r="A22" t="s">
        <v>9</v>
      </c>
      <c r="B22" t="s">
        <v>10</v>
      </c>
      <c r="C22">
        <v>65</v>
      </c>
      <c r="D22" t="s">
        <v>11</v>
      </c>
      <c r="E22" t="s">
        <v>34</v>
      </c>
      <c r="F22" t="s">
        <v>13</v>
      </c>
      <c r="G22">
        <v>401000</v>
      </c>
      <c r="I22" t="s">
        <v>14</v>
      </c>
    </row>
    <row r="23" spans="1:9">
      <c r="A23" t="s">
        <v>9</v>
      </c>
      <c r="B23" t="s">
        <v>10</v>
      </c>
      <c r="C23">
        <v>65</v>
      </c>
      <c r="D23" t="s">
        <v>11</v>
      </c>
      <c r="E23" t="s">
        <v>35</v>
      </c>
      <c r="F23" t="s">
        <v>13</v>
      </c>
      <c r="G23">
        <v>84200</v>
      </c>
      <c r="I23" t="s">
        <v>14</v>
      </c>
    </row>
    <row r="24" spans="1:9">
      <c r="A24" t="s">
        <v>9</v>
      </c>
      <c r="B24" t="s">
        <v>10</v>
      </c>
      <c r="C24">
        <v>65</v>
      </c>
      <c r="D24" t="s">
        <v>11</v>
      </c>
      <c r="E24" t="s">
        <v>36</v>
      </c>
      <c r="F24" t="s">
        <v>13</v>
      </c>
      <c r="G24">
        <v>27000</v>
      </c>
      <c r="I24" t="s">
        <v>14</v>
      </c>
    </row>
    <row r="25" spans="1:9">
      <c r="A25" t="s">
        <v>9</v>
      </c>
      <c r="B25" t="s">
        <v>10</v>
      </c>
      <c r="C25">
        <v>65</v>
      </c>
      <c r="D25" t="s">
        <v>11</v>
      </c>
      <c r="E25" t="s">
        <v>37</v>
      </c>
      <c r="F25" t="s">
        <v>13</v>
      </c>
      <c r="G25">
        <v>6140</v>
      </c>
      <c r="I25" t="s">
        <v>14</v>
      </c>
    </row>
    <row r="26" spans="1:9">
      <c r="A26" t="s">
        <v>9</v>
      </c>
      <c r="B26" t="s">
        <v>10</v>
      </c>
      <c r="C26">
        <v>65</v>
      </c>
      <c r="D26" t="s">
        <v>11</v>
      </c>
      <c r="E26" t="s">
        <v>38</v>
      </c>
      <c r="F26" t="s">
        <v>13</v>
      </c>
      <c r="G26">
        <v>7840</v>
      </c>
      <c r="I26" t="s">
        <v>14</v>
      </c>
    </row>
    <row r="27" spans="1:9">
      <c r="A27" t="s">
        <v>9</v>
      </c>
      <c r="B27" t="s">
        <v>10</v>
      </c>
      <c r="C27">
        <v>65</v>
      </c>
      <c r="D27" t="s">
        <v>11</v>
      </c>
      <c r="E27" t="s">
        <v>39</v>
      </c>
      <c r="F27" t="s">
        <v>13</v>
      </c>
      <c r="G27">
        <v>41000</v>
      </c>
      <c r="I27" t="s">
        <v>14</v>
      </c>
    </row>
    <row r="28" spans="1:9">
      <c r="A28" t="s">
        <v>9</v>
      </c>
      <c r="B28" t="s">
        <v>10</v>
      </c>
      <c r="C28">
        <v>65</v>
      </c>
      <c r="D28" t="s">
        <v>11</v>
      </c>
      <c r="E28" t="s">
        <v>40</v>
      </c>
      <c r="F28" t="s">
        <v>13</v>
      </c>
      <c r="G28">
        <v>50900</v>
      </c>
      <c r="I28" t="s">
        <v>14</v>
      </c>
    </row>
    <row r="29" spans="1:9">
      <c r="A29" t="s">
        <v>9</v>
      </c>
      <c r="B29" t="s">
        <v>10</v>
      </c>
      <c r="C29">
        <v>65</v>
      </c>
      <c r="D29" t="s">
        <v>11</v>
      </c>
      <c r="E29" t="s">
        <v>41</v>
      </c>
      <c r="F29" t="s">
        <v>13</v>
      </c>
      <c r="G29">
        <v>123000</v>
      </c>
      <c r="I29" t="s">
        <v>14</v>
      </c>
    </row>
    <row r="30" spans="1:9">
      <c r="A30" t="s">
        <v>9</v>
      </c>
      <c r="B30" t="s">
        <v>10</v>
      </c>
      <c r="C30">
        <v>65</v>
      </c>
      <c r="D30" t="s">
        <v>11</v>
      </c>
      <c r="E30" t="s">
        <v>42</v>
      </c>
      <c r="F30" t="s">
        <v>13</v>
      </c>
      <c r="G30">
        <v>93700</v>
      </c>
      <c r="I30" t="s">
        <v>14</v>
      </c>
    </row>
    <row r="31" spans="1:9">
      <c r="A31" t="s">
        <v>9</v>
      </c>
      <c r="B31" t="s">
        <v>10</v>
      </c>
      <c r="C31">
        <v>65</v>
      </c>
      <c r="D31" t="s">
        <v>11</v>
      </c>
      <c r="E31" t="s">
        <v>43</v>
      </c>
      <c r="F31" t="s">
        <v>13</v>
      </c>
      <c r="G31">
        <v>195000</v>
      </c>
      <c r="I31" t="s">
        <v>14</v>
      </c>
    </row>
    <row r="32" spans="1:9">
      <c r="A32" t="s">
        <v>9</v>
      </c>
      <c r="B32" t="s">
        <v>10</v>
      </c>
      <c r="C32">
        <v>65</v>
      </c>
      <c r="D32" t="s">
        <v>11</v>
      </c>
      <c r="E32" t="s">
        <v>44</v>
      </c>
      <c r="F32" t="s">
        <v>13</v>
      </c>
      <c r="G32">
        <v>341000</v>
      </c>
      <c r="I32" t="s">
        <v>14</v>
      </c>
    </row>
    <row r="33" spans="1:9">
      <c r="A33" t="s">
        <v>9</v>
      </c>
      <c r="B33" t="s">
        <v>10</v>
      </c>
      <c r="C33">
        <v>65</v>
      </c>
      <c r="D33" t="s">
        <v>11</v>
      </c>
      <c r="E33" t="s">
        <v>45</v>
      </c>
      <c r="F33" t="s">
        <v>13</v>
      </c>
      <c r="G33">
        <v>479000</v>
      </c>
      <c r="I33" t="s">
        <v>14</v>
      </c>
    </row>
    <row r="34" spans="1:9">
      <c r="A34" t="s">
        <v>9</v>
      </c>
      <c r="B34" t="s">
        <v>10</v>
      </c>
      <c r="C34">
        <v>65</v>
      </c>
      <c r="D34" t="s">
        <v>11</v>
      </c>
      <c r="E34" t="s">
        <v>46</v>
      </c>
      <c r="F34" t="s">
        <v>13</v>
      </c>
      <c r="G34">
        <v>439000</v>
      </c>
      <c r="I34" t="s">
        <v>14</v>
      </c>
    </row>
    <row r="35" spans="1:9">
      <c r="A35" t="s">
        <v>9</v>
      </c>
      <c r="B35" t="s">
        <v>10</v>
      </c>
      <c r="C35">
        <v>65</v>
      </c>
      <c r="D35" t="s">
        <v>11</v>
      </c>
      <c r="E35" t="s">
        <v>47</v>
      </c>
      <c r="F35" t="s">
        <v>13</v>
      </c>
      <c r="G35">
        <v>83400</v>
      </c>
      <c r="I35" t="s">
        <v>14</v>
      </c>
    </row>
    <row r="36" spans="1:9">
      <c r="A36" t="s">
        <v>9</v>
      </c>
      <c r="B36" t="s">
        <v>10</v>
      </c>
      <c r="C36">
        <v>65</v>
      </c>
      <c r="D36" t="s">
        <v>11</v>
      </c>
      <c r="E36" t="s">
        <v>48</v>
      </c>
      <c r="F36" t="s">
        <v>13</v>
      </c>
      <c r="G36">
        <v>16500</v>
      </c>
      <c r="I36" t="s">
        <v>14</v>
      </c>
    </row>
    <row r="37" spans="1:9">
      <c r="A37" t="s">
        <v>9</v>
      </c>
      <c r="B37" t="s">
        <v>10</v>
      </c>
      <c r="C37">
        <v>65</v>
      </c>
      <c r="D37" t="s">
        <v>11</v>
      </c>
      <c r="E37" t="s">
        <v>49</v>
      </c>
      <c r="F37" t="s">
        <v>13</v>
      </c>
      <c r="G37">
        <v>7010</v>
      </c>
      <c r="I37" t="s">
        <v>14</v>
      </c>
    </row>
    <row r="38" spans="1:9">
      <c r="A38" t="s">
        <v>9</v>
      </c>
      <c r="B38" t="s">
        <v>10</v>
      </c>
      <c r="C38">
        <v>65</v>
      </c>
      <c r="D38" t="s">
        <v>11</v>
      </c>
      <c r="E38" t="s">
        <v>50</v>
      </c>
      <c r="F38" t="s">
        <v>13</v>
      </c>
      <c r="G38">
        <v>5400</v>
      </c>
      <c r="I38" t="s">
        <v>14</v>
      </c>
    </row>
    <row r="39" spans="1:9">
      <c r="A39" t="s">
        <v>9</v>
      </c>
      <c r="B39" t="s">
        <v>10</v>
      </c>
      <c r="C39">
        <v>65</v>
      </c>
      <c r="D39" t="s">
        <v>11</v>
      </c>
      <c r="E39" t="s">
        <v>51</v>
      </c>
      <c r="F39" t="s">
        <v>13</v>
      </c>
      <c r="G39">
        <v>59300</v>
      </c>
      <c r="I39" t="s">
        <v>14</v>
      </c>
    </row>
    <row r="40" spans="1:9">
      <c r="A40" t="s">
        <v>9</v>
      </c>
      <c r="B40" t="s">
        <v>10</v>
      </c>
      <c r="C40">
        <v>65</v>
      </c>
      <c r="D40" t="s">
        <v>11</v>
      </c>
      <c r="E40" t="s">
        <v>52</v>
      </c>
      <c r="F40" t="s">
        <v>13</v>
      </c>
      <c r="G40">
        <v>26600</v>
      </c>
      <c r="I40" t="s">
        <v>14</v>
      </c>
    </row>
    <row r="41" spans="1:9">
      <c r="A41" t="s">
        <v>9</v>
      </c>
      <c r="B41" t="s">
        <v>10</v>
      </c>
      <c r="C41">
        <v>65</v>
      </c>
      <c r="D41" t="s">
        <v>11</v>
      </c>
      <c r="E41" t="s">
        <v>53</v>
      </c>
      <c r="F41" t="s">
        <v>13</v>
      </c>
      <c r="G41">
        <v>26000</v>
      </c>
      <c r="I41" t="s">
        <v>14</v>
      </c>
    </row>
    <row r="42" spans="1:9">
      <c r="A42" t="s">
        <v>9</v>
      </c>
      <c r="B42" t="s">
        <v>10</v>
      </c>
      <c r="C42">
        <v>65</v>
      </c>
      <c r="D42" t="s">
        <v>11</v>
      </c>
      <c r="E42" t="s">
        <v>54</v>
      </c>
      <c r="F42" t="s">
        <v>13</v>
      </c>
      <c r="G42">
        <v>217000</v>
      </c>
      <c r="I42" t="s">
        <v>14</v>
      </c>
    </row>
    <row r="43" spans="1:9">
      <c r="A43" t="s">
        <v>9</v>
      </c>
      <c r="B43" t="s">
        <v>10</v>
      </c>
      <c r="C43">
        <v>65</v>
      </c>
      <c r="D43" t="s">
        <v>11</v>
      </c>
      <c r="E43" t="s">
        <v>55</v>
      </c>
      <c r="F43" t="s">
        <v>13</v>
      </c>
      <c r="G43">
        <v>334000</v>
      </c>
      <c r="I43" t="s">
        <v>14</v>
      </c>
    </row>
    <row r="44" spans="1:9">
      <c r="A44" t="s">
        <v>9</v>
      </c>
      <c r="B44" t="s">
        <v>10</v>
      </c>
      <c r="C44">
        <v>65</v>
      </c>
      <c r="D44" t="s">
        <v>11</v>
      </c>
      <c r="E44" t="s">
        <v>56</v>
      </c>
      <c r="F44" t="s">
        <v>13</v>
      </c>
      <c r="G44">
        <v>350000</v>
      </c>
      <c r="I44" t="s">
        <v>14</v>
      </c>
    </row>
    <row r="45" spans="1:9">
      <c r="A45" t="s">
        <v>9</v>
      </c>
      <c r="B45" t="s">
        <v>10</v>
      </c>
      <c r="C45">
        <v>65</v>
      </c>
      <c r="D45" t="s">
        <v>11</v>
      </c>
      <c r="E45" t="s">
        <v>57</v>
      </c>
      <c r="F45" t="s">
        <v>13</v>
      </c>
      <c r="G45">
        <v>656000</v>
      </c>
      <c r="I45" t="s">
        <v>14</v>
      </c>
    </row>
    <row r="46" spans="1:9">
      <c r="A46" t="s">
        <v>9</v>
      </c>
      <c r="B46" t="s">
        <v>10</v>
      </c>
      <c r="C46">
        <v>65</v>
      </c>
      <c r="D46" t="s">
        <v>11</v>
      </c>
      <c r="E46" t="s">
        <v>58</v>
      </c>
      <c r="F46" t="s">
        <v>13</v>
      </c>
      <c r="G46">
        <v>517000</v>
      </c>
      <c r="I46" t="s">
        <v>14</v>
      </c>
    </row>
    <row r="47" spans="1:9">
      <c r="A47" t="s">
        <v>9</v>
      </c>
      <c r="B47" t="s">
        <v>10</v>
      </c>
      <c r="C47">
        <v>65</v>
      </c>
      <c r="D47" t="s">
        <v>11</v>
      </c>
      <c r="E47" t="s">
        <v>59</v>
      </c>
      <c r="F47" t="s">
        <v>13</v>
      </c>
      <c r="G47">
        <v>164000</v>
      </c>
      <c r="I47" t="s">
        <v>14</v>
      </c>
    </row>
    <row r="48" spans="1:9">
      <c r="A48" t="s">
        <v>9</v>
      </c>
      <c r="B48" t="s">
        <v>10</v>
      </c>
      <c r="C48">
        <v>65</v>
      </c>
      <c r="D48" t="s">
        <v>11</v>
      </c>
      <c r="E48" t="s">
        <v>60</v>
      </c>
      <c r="F48" t="s">
        <v>13</v>
      </c>
      <c r="G48">
        <v>46500</v>
      </c>
      <c r="I48" t="s">
        <v>14</v>
      </c>
    </row>
    <row r="49" spans="1:9">
      <c r="A49" t="s">
        <v>9</v>
      </c>
      <c r="B49" t="s">
        <v>10</v>
      </c>
      <c r="C49">
        <v>65</v>
      </c>
      <c r="D49" t="s">
        <v>11</v>
      </c>
      <c r="E49" t="s">
        <v>61</v>
      </c>
      <c r="F49" t="s">
        <v>13</v>
      </c>
      <c r="G49">
        <v>37600</v>
      </c>
      <c r="I49" t="s">
        <v>14</v>
      </c>
    </row>
    <row r="50" spans="1:9">
      <c r="A50" t="s">
        <v>9</v>
      </c>
      <c r="B50" t="s">
        <v>10</v>
      </c>
      <c r="C50">
        <v>65</v>
      </c>
      <c r="D50" t="s">
        <v>11</v>
      </c>
      <c r="E50" t="s">
        <v>62</v>
      </c>
      <c r="F50" t="s">
        <v>13</v>
      </c>
      <c r="G50">
        <v>197000</v>
      </c>
      <c r="I50" t="s">
        <v>14</v>
      </c>
    </row>
    <row r="51" spans="1:9">
      <c r="A51" t="s">
        <v>9</v>
      </c>
      <c r="B51" t="s">
        <v>10</v>
      </c>
      <c r="C51">
        <v>65</v>
      </c>
      <c r="D51" t="s">
        <v>11</v>
      </c>
      <c r="E51" t="s">
        <v>63</v>
      </c>
      <c r="F51" t="s">
        <v>13</v>
      </c>
      <c r="G51">
        <v>45400</v>
      </c>
      <c r="I51" t="s">
        <v>14</v>
      </c>
    </row>
    <row r="52" spans="1:9">
      <c r="A52" t="s">
        <v>9</v>
      </c>
      <c r="B52" t="s">
        <v>10</v>
      </c>
      <c r="C52">
        <v>65</v>
      </c>
      <c r="D52" t="s">
        <v>11</v>
      </c>
      <c r="E52" t="s">
        <v>64</v>
      </c>
      <c r="F52" t="s">
        <v>13</v>
      </c>
      <c r="G52">
        <v>28500</v>
      </c>
      <c r="I52" t="s">
        <v>14</v>
      </c>
    </row>
    <row r="53" spans="1:9">
      <c r="A53" t="s">
        <v>9</v>
      </c>
      <c r="B53" t="s">
        <v>10</v>
      </c>
      <c r="C53">
        <v>65</v>
      </c>
      <c r="D53" t="s">
        <v>11</v>
      </c>
      <c r="E53" t="s">
        <v>65</v>
      </c>
      <c r="F53" t="s">
        <v>66</v>
      </c>
      <c r="G53">
        <v>45200</v>
      </c>
      <c r="I53" t="s">
        <v>14</v>
      </c>
    </row>
    <row r="54" spans="1:9">
      <c r="A54" t="s">
        <v>9</v>
      </c>
      <c r="B54" t="s">
        <v>10</v>
      </c>
      <c r="C54">
        <v>65</v>
      </c>
      <c r="D54" t="s">
        <v>11</v>
      </c>
      <c r="E54" t="s">
        <v>67</v>
      </c>
      <c r="F54" t="s">
        <v>68</v>
      </c>
      <c r="G54">
        <v>103000</v>
      </c>
      <c r="I54" t="s">
        <v>14</v>
      </c>
    </row>
    <row r="55" spans="1:9">
      <c r="A55" t="s">
        <v>9</v>
      </c>
      <c r="B55" t="s">
        <v>10</v>
      </c>
      <c r="C55">
        <v>65</v>
      </c>
      <c r="D55" t="s">
        <v>11</v>
      </c>
      <c r="E55" t="s">
        <v>69</v>
      </c>
      <c r="F55" t="s">
        <v>70</v>
      </c>
      <c r="G55">
        <v>200000</v>
      </c>
      <c r="I55" t="s">
        <v>14</v>
      </c>
    </row>
    <row r="56" spans="1:9">
      <c r="A56" t="s">
        <v>9</v>
      </c>
      <c r="B56" t="s">
        <v>10</v>
      </c>
      <c r="C56">
        <v>65</v>
      </c>
      <c r="D56" t="s">
        <v>11</v>
      </c>
      <c r="E56" t="s">
        <v>71</v>
      </c>
      <c r="F56" t="s">
        <v>72</v>
      </c>
      <c r="G56">
        <v>227000</v>
      </c>
      <c r="I56" t="s">
        <v>14</v>
      </c>
    </row>
    <row r="57" spans="1:9">
      <c r="A57" t="s">
        <v>9</v>
      </c>
      <c r="B57" t="s">
        <v>10</v>
      </c>
      <c r="C57">
        <v>65</v>
      </c>
      <c r="D57" t="s">
        <v>11</v>
      </c>
      <c r="E57" t="s">
        <v>73</v>
      </c>
      <c r="F57" t="s">
        <v>74</v>
      </c>
      <c r="G57">
        <v>345000</v>
      </c>
      <c r="I57" t="s">
        <v>14</v>
      </c>
    </row>
    <row r="58" spans="1:9">
      <c r="A58" t="s">
        <v>9</v>
      </c>
      <c r="B58" t="s">
        <v>10</v>
      </c>
      <c r="C58">
        <v>65</v>
      </c>
      <c r="D58" t="s">
        <v>11</v>
      </c>
      <c r="E58" t="s">
        <v>75</v>
      </c>
      <c r="F58" t="s">
        <v>76</v>
      </c>
      <c r="G58">
        <v>337000</v>
      </c>
      <c r="I58" t="s">
        <v>14</v>
      </c>
    </row>
    <row r="59" spans="1:9">
      <c r="A59" t="s">
        <v>9</v>
      </c>
      <c r="B59" t="s">
        <v>10</v>
      </c>
      <c r="C59">
        <v>65</v>
      </c>
      <c r="D59" t="s">
        <v>11</v>
      </c>
      <c r="E59" t="s">
        <v>77</v>
      </c>
      <c r="F59" t="s">
        <v>78</v>
      </c>
      <c r="G59">
        <v>81300</v>
      </c>
      <c r="I59" t="s">
        <v>14</v>
      </c>
    </row>
    <row r="60" spans="1:9">
      <c r="A60" t="s">
        <v>9</v>
      </c>
      <c r="B60" t="s">
        <v>10</v>
      </c>
      <c r="C60">
        <v>65</v>
      </c>
      <c r="D60" t="s">
        <v>11</v>
      </c>
      <c r="E60" t="s">
        <v>79</v>
      </c>
      <c r="F60" t="s">
        <v>80</v>
      </c>
      <c r="G60">
        <v>14900</v>
      </c>
      <c r="I60" t="s">
        <v>14</v>
      </c>
    </row>
    <row r="61" spans="1:9">
      <c r="A61" t="s">
        <v>9</v>
      </c>
      <c r="B61" t="s">
        <v>10</v>
      </c>
      <c r="C61">
        <v>65</v>
      </c>
      <c r="D61" t="s">
        <v>11</v>
      </c>
      <c r="E61" t="s">
        <v>81</v>
      </c>
      <c r="F61" t="s">
        <v>82</v>
      </c>
      <c r="G61">
        <v>6420</v>
      </c>
      <c r="I61" t="s">
        <v>14</v>
      </c>
    </row>
    <row r="62" spans="1:9">
      <c r="A62" t="s">
        <v>9</v>
      </c>
      <c r="B62" t="s">
        <v>10</v>
      </c>
      <c r="C62">
        <v>65</v>
      </c>
      <c r="D62" t="s">
        <v>11</v>
      </c>
      <c r="E62" t="s">
        <v>83</v>
      </c>
      <c r="F62" t="s">
        <v>84</v>
      </c>
      <c r="G62">
        <v>2410</v>
      </c>
      <c r="I62" t="s">
        <v>14</v>
      </c>
    </row>
    <row r="63" spans="1:9">
      <c r="A63" t="s">
        <v>9</v>
      </c>
      <c r="B63" t="s">
        <v>10</v>
      </c>
      <c r="C63">
        <v>65</v>
      </c>
      <c r="D63" t="s">
        <v>11</v>
      </c>
      <c r="E63" t="s">
        <v>85</v>
      </c>
      <c r="F63" t="s">
        <v>86</v>
      </c>
      <c r="G63">
        <v>3530</v>
      </c>
      <c r="I63" t="s">
        <v>14</v>
      </c>
    </row>
    <row r="64" spans="1:9">
      <c r="A64" t="s">
        <v>9</v>
      </c>
      <c r="B64" t="s">
        <v>10</v>
      </c>
      <c r="C64">
        <v>65</v>
      </c>
      <c r="D64" t="s">
        <v>11</v>
      </c>
      <c r="E64" t="s">
        <v>87</v>
      </c>
      <c r="F64" t="s">
        <v>88</v>
      </c>
      <c r="G64">
        <v>8280</v>
      </c>
      <c r="I64" t="s">
        <v>14</v>
      </c>
    </row>
    <row r="65" spans="1:9">
      <c r="A65" t="s">
        <v>9</v>
      </c>
      <c r="B65" t="s">
        <v>10</v>
      </c>
      <c r="C65">
        <v>65</v>
      </c>
      <c r="D65" t="s">
        <v>11</v>
      </c>
      <c r="E65" t="s">
        <v>89</v>
      </c>
      <c r="F65" t="s">
        <v>90</v>
      </c>
      <c r="G65">
        <v>180000</v>
      </c>
      <c r="I65" t="s">
        <v>14</v>
      </c>
    </row>
    <row r="66" spans="1:9">
      <c r="A66" t="s">
        <v>9</v>
      </c>
      <c r="B66" t="s">
        <v>10</v>
      </c>
      <c r="C66">
        <v>65</v>
      </c>
      <c r="D66" t="s">
        <v>11</v>
      </c>
      <c r="E66" t="s">
        <v>91</v>
      </c>
      <c r="F66" t="s">
        <v>92</v>
      </c>
      <c r="G66">
        <v>120000</v>
      </c>
      <c r="I66" t="s">
        <v>14</v>
      </c>
    </row>
    <row r="67" spans="1:9">
      <c r="A67" t="s">
        <v>9</v>
      </c>
      <c r="B67" t="s">
        <v>10</v>
      </c>
      <c r="C67">
        <v>65</v>
      </c>
      <c r="D67" t="s">
        <v>11</v>
      </c>
      <c r="E67" t="s">
        <v>93</v>
      </c>
      <c r="F67" t="s">
        <v>94</v>
      </c>
      <c r="G67">
        <v>453000</v>
      </c>
      <c r="I67" t="s">
        <v>14</v>
      </c>
    </row>
    <row r="68" spans="1:9">
      <c r="A68" t="s">
        <v>9</v>
      </c>
      <c r="B68" t="s">
        <v>10</v>
      </c>
      <c r="C68">
        <v>65</v>
      </c>
      <c r="D68" t="s">
        <v>11</v>
      </c>
      <c r="E68" t="s">
        <v>95</v>
      </c>
      <c r="F68" t="s">
        <v>96</v>
      </c>
      <c r="G68">
        <v>400000</v>
      </c>
      <c r="I68" t="s">
        <v>14</v>
      </c>
    </row>
    <row r="69" spans="1:9">
      <c r="A69" t="s">
        <v>9</v>
      </c>
      <c r="B69" t="s">
        <v>10</v>
      </c>
      <c r="C69">
        <v>65</v>
      </c>
      <c r="D69" t="s">
        <v>11</v>
      </c>
      <c r="E69" t="s">
        <v>97</v>
      </c>
      <c r="F69" t="s">
        <v>98</v>
      </c>
      <c r="G69">
        <v>699000</v>
      </c>
      <c r="I69" t="s">
        <v>14</v>
      </c>
    </row>
    <row r="70" spans="1:9">
      <c r="A70" t="s">
        <v>9</v>
      </c>
      <c r="B70" t="s">
        <v>10</v>
      </c>
      <c r="C70">
        <v>65</v>
      </c>
      <c r="D70" t="s">
        <v>11</v>
      </c>
      <c r="E70" t="s">
        <v>99</v>
      </c>
      <c r="F70" t="s">
        <v>100</v>
      </c>
      <c r="G70">
        <v>852000</v>
      </c>
      <c r="I70" t="s">
        <v>14</v>
      </c>
    </row>
    <row r="71" spans="1:9">
      <c r="A71" t="s">
        <v>9</v>
      </c>
      <c r="B71" t="s">
        <v>10</v>
      </c>
      <c r="C71">
        <v>65</v>
      </c>
      <c r="D71" t="s">
        <v>11</v>
      </c>
      <c r="E71" t="s">
        <v>101</v>
      </c>
      <c r="F71" t="s">
        <v>102</v>
      </c>
      <c r="G71">
        <v>731000</v>
      </c>
      <c r="I71" t="s">
        <v>14</v>
      </c>
    </row>
    <row r="72" spans="1:9">
      <c r="A72" t="s">
        <v>9</v>
      </c>
      <c r="B72" t="s">
        <v>10</v>
      </c>
      <c r="C72">
        <v>65</v>
      </c>
      <c r="D72" t="s">
        <v>11</v>
      </c>
      <c r="E72" t="s">
        <v>103</v>
      </c>
      <c r="F72" t="s">
        <v>104</v>
      </c>
      <c r="G72">
        <v>133000</v>
      </c>
      <c r="I72" t="s">
        <v>14</v>
      </c>
    </row>
    <row r="73" spans="1:9">
      <c r="A73" t="s">
        <v>9</v>
      </c>
      <c r="B73" t="s">
        <v>10</v>
      </c>
      <c r="C73">
        <v>65</v>
      </c>
      <c r="D73" t="s">
        <v>11</v>
      </c>
      <c r="E73" t="s">
        <v>105</v>
      </c>
      <c r="F73" t="s">
        <v>106</v>
      </c>
      <c r="G73">
        <v>27800</v>
      </c>
      <c r="I73" t="s">
        <v>14</v>
      </c>
    </row>
    <row r="74" spans="1:9">
      <c r="A74" t="s">
        <v>9</v>
      </c>
      <c r="B74" t="s">
        <v>10</v>
      </c>
      <c r="C74">
        <v>65</v>
      </c>
      <c r="D74" t="s">
        <v>11</v>
      </c>
      <c r="E74" t="s">
        <v>107</v>
      </c>
      <c r="F74" t="s">
        <v>108</v>
      </c>
      <c r="G74">
        <v>12400</v>
      </c>
      <c r="I74" t="s">
        <v>14</v>
      </c>
    </row>
    <row r="75" spans="1:9">
      <c r="A75" t="s">
        <v>9</v>
      </c>
      <c r="B75" t="s">
        <v>10</v>
      </c>
      <c r="C75">
        <v>65</v>
      </c>
      <c r="D75" t="s">
        <v>11</v>
      </c>
      <c r="E75" t="s">
        <v>109</v>
      </c>
      <c r="F75" t="s">
        <v>110</v>
      </c>
      <c r="G75">
        <v>16100</v>
      </c>
      <c r="I75" t="s">
        <v>14</v>
      </c>
    </row>
    <row r="76" spans="1:9">
      <c r="A76" t="s">
        <v>9</v>
      </c>
      <c r="B76" t="s">
        <v>10</v>
      </c>
      <c r="C76">
        <v>65</v>
      </c>
      <c r="D76" t="s">
        <v>11</v>
      </c>
      <c r="E76" t="s">
        <v>111</v>
      </c>
      <c r="F76" t="s">
        <v>112</v>
      </c>
      <c r="G76">
        <v>92400</v>
      </c>
      <c r="I76" t="s">
        <v>14</v>
      </c>
    </row>
    <row r="77" spans="1:9">
      <c r="A77" t="s">
        <v>9</v>
      </c>
      <c r="B77" t="s">
        <v>10</v>
      </c>
      <c r="C77">
        <v>65</v>
      </c>
      <c r="D77" t="s">
        <v>11</v>
      </c>
      <c r="E77" t="s">
        <v>113</v>
      </c>
      <c r="F77" t="s">
        <v>114</v>
      </c>
      <c r="G77">
        <v>149000</v>
      </c>
      <c r="I77" t="s">
        <v>14</v>
      </c>
    </row>
    <row r="78" spans="1:9">
      <c r="A78" t="s">
        <v>9</v>
      </c>
      <c r="B78" t="s">
        <v>10</v>
      </c>
      <c r="C78">
        <v>65</v>
      </c>
      <c r="D78" t="s">
        <v>11</v>
      </c>
      <c r="E78" t="s">
        <v>115</v>
      </c>
      <c r="F78" t="s">
        <v>116</v>
      </c>
      <c r="G78">
        <v>238000</v>
      </c>
      <c r="I78" t="s">
        <v>14</v>
      </c>
    </row>
    <row r="79" spans="1:9">
      <c r="A79" t="s">
        <v>9</v>
      </c>
      <c r="B79" t="s">
        <v>10</v>
      </c>
      <c r="C79">
        <v>65</v>
      </c>
      <c r="D79" t="s">
        <v>11</v>
      </c>
      <c r="E79" t="s">
        <v>117</v>
      </c>
      <c r="F79" t="s">
        <v>118</v>
      </c>
      <c r="G79">
        <v>697000</v>
      </c>
      <c r="I79" t="s">
        <v>14</v>
      </c>
    </row>
    <row r="80" spans="1:9">
      <c r="A80" t="s">
        <v>9</v>
      </c>
      <c r="B80" t="s">
        <v>10</v>
      </c>
      <c r="C80">
        <v>65</v>
      </c>
      <c r="D80" t="s">
        <v>11</v>
      </c>
      <c r="E80" t="s">
        <v>119</v>
      </c>
      <c r="F80" t="s">
        <v>120</v>
      </c>
      <c r="G80">
        <v>579000</v>
      </c>
      <c r="I80" t="s">
        <v>14</v>
      </c>
    </row>
    <row r="81" spans="1:9">
      <c r="A81" t="s">
        <v>9</v>
      </c>
      <c r="B81" t="s">
        <v>10</v>
      </c>
      <c r="C81">
        <v>65</v>
      </c>
      <c r="D81" t="s">
        <v>11</v>
      </c>
      <c r="E81" t="s">
        <v>121</v>
      </c>
      <c r="F81" t="s">
        <v>122</v>
      </c>
      <c r="G81">
        <v>642000</v>
      </c>
      <c r="I81" t="s">
        <v>14</v>
      </c>
    </row>
    <row r="82" spans="1:9">
      <c r="A82" t="s">
        <v>9</v>
      </c>
      <c r="B82" t="s">
        <v>10</v>
      </c>
      <c r="C82">
        <v>65</v>
      </c>
      <c r="D82" t="s">
        <v>11</v>
      </c>
      <c r="E82" t="s">
        <v>123</v>
      </c>
      <c r="F82" t="s">
        <v>124</v>
      </c>
      <c r="G82">
        <v>662000</v>
      </c>
      <c r="I82" t="s">
        <v>14</v>
      </c>
    </row>
    <row r="83" spans="1:9">
      <c r="A83" t="s">
        <v>9</v>
      </c>
      <c r="B83" t="s">
        <v>10</v>
      </c>
      <c r="C83">
        <v>65</v>
      </c>
      <c r="D83" t="s">
        <v>11</v>
      </c>
      <c r="E83" t="s">
        <v>125</v>
      </c>
      <c r="F83" t="s">
        <v>126</v>
      </c>
      <c r="G83">
        <v>498000</v>
      </c>
      <c r="I83" t="s">
        <v>14</v>
      </c>
    </row>
    <row r="84" spans="1:9">
      <c r="A84" t="s">
        <v>9</v>
      </c>
      <c r="B84" t="s">
        <v>10</v>
      </c>
      <c r="C84">
        <v>65</v>
      </c>
      <c r="D84" t="s">
        <v>11</v>
      </c>
      <c r="E84" t="s">
        <v>127</v>
      </c>
      <c r="F84" t="s">
        <v>128</v>
      </c>
      <c r="G84">
        <v>133000</v>
      </c>
      <c r="I84" t="s">
        <v>14</v>
      </c>
    </row>
    <row r="85" spans="1:9">
      <c r="A85" t="s">
        <v>9</v>
      </c>
      <c r="B85" t="s">
        <v>10</v>
      </c>
      <c r="C85">
        <v>65</v>
      </c>
      <c r="D85" t="s">
        <v>11</v>
      </c>
      <c r="E85" t="s">
        <v>129</v>
      </c>
      <c r="F85" t="s">
        <v>130</v>
      </c>
      <c r="G85">
        <v>30600</v>
      </c>
      <c r="I85" t="s">
        <v>14</v>
      </c>
    </row>
    <row r="86" spans="1:9">
      <c r="A86" t="s">
        <v>9</v>
      </c>
      <c r="B86" t="s">
        <v>10</v>
      </c>
      <c r="C86">
        <v>65</v>
      </c>
      <c r="D86" t="s">
        <v>11</v>
      </c>
      <c r="E86" t="s">
        <v>131</v>
      </c>
      <c r="F86" t="s">
        <v>132</v>
      </c>
      <c r="G86">
        <v>18300</v>
      </c>
      <c r="I86" t="s">
        <v>14</v>
      </c>
    </row>
    <row r="87" spans="1:9">
      <c r="A87" t="s">
        <v>9</v>
      </c>
      <c r="B87" t="s">
        <v>10</v>
      </c>
      <c r="C87">
        <v>65</v>
      </c>
      <c r="D87" t="s">
        <v>11</v>
      </c>
      <c r="E87" t="s">
        <v>133</v>
      </c>
      <c r="F87" t="s">
        <v>134</v>
      </c>
      <c r="G87">
        <v>18000</v>
      </c>
      <c r="I87" t="s">
        <v>14</v>
      </c>
    </row>
    <row r="88" spans="1:9">
      <c r="A88" t="s">
        <v>9</v>
      </c>
      <c r="B88" t="s">
        <v>10</v>
      </c>
      <c r="C88">
        <v>65</v>
      </c>
      <c r="D88" t="s">
        <v>11</v>
      </c>
      <c r="E88" t="s">
        <v>135</v>
      </c>
      <c r="F88" t="s">
        <v>136</v>
      </c>
      <c r="G88">
        <v>38000</v>
      </c>
      <c r="I88" t="s">
        <v>14</v>
      </c>
    </row>
    <row r="89" spans="1:9">
      <c r="A89" t="s">
        <v>9</v>
      </c>
      <c r="B89" t="s">
        <v>10</v>
      </c>
      <c r="C89">
        <v>65</v>
      </c>
      <c r="D89" t="s">
        <v>11</v>
      </c>
      <c r="E89" t="s">
        <v>137</v>
      </c>
      <c r="F89" t="s">
        <v>138</v>
      </c>
      <c r="G89">
        <v>58700</v>
      </c>
      <c r="I89" t="s">
        <v>14</v>
      </c>
    </row>
    <row r="90" spans="1:9">
      <c r="A90" t="s">
        <v>9</v>
      </c>
      <c r="B90" t="s">
        <v>10</v>
      </c>
      <c r="C90">
        <v>65</v>
      </c>
      <c r="D90" t="s">
        <v>11</v>
      </c>
      <c r="E90" t="s">
        <v>139</v>
      </c>
      <c r="F90" t="s">
        <v>140</v>
      </c>
      <c r="G90">
        <v>47000</v>
      </c>
      <c r="I90" t="s">
        <v>14</v>
      </c>
    </row>
    <row r="91" spans="1:9">
      <c r="A91" t="s">
        <v>9</v>
      </c>
      <c r="B91" t="s">
        <v>10</v>
      </c>
      <c r="C91">
        <v>65</v>
      </c>
      <c r="D91" t="s">
        <v>11</v>
      </c>
      <c r="E91" t="s">
        <v>141</v>
      </c>
      <c r="F91" t="s">
        <v>142</v>
      </c>
      <c r="G91">
        <v>112000</v>
      </c>
      <c r="I91" t="s">
        <v>14</v>
      </c>
    </row>
    <row r="92" spans="1:9">
      <c r="A92" t="s">
        <v>9</v>
      </c>
      <c r="B92" t="s">
        <v>10</v>
      </c>
      <c r="C92">
        <v>65</v>
      </c>
      <c r="D92" t="s">
        <v>11</v>
      </c>
      <c r="E92" t="s">
        <v>143</v>
      </c>
      <c r="F92" t="s">
        <v>144</v>
      </c>
      <c r="G92">
        <v>207000</v>
      </c>
      <c r="I92" t="s">
        <v>14</v>
      </c>
    </row>
    <row r="93" spans="1:9">
      <c r="A93" t="s">
        <v>9</v>
      </c>
      <c r="B93" t="s">
        <v>10</v>
      </c>
      <c r="C93">
        <v>65</v>
      </c>
      <c r="D93" t="s">
        <v>11</v>
      </c>
      <c r="E93" t="s">
        <v>145</v>
      </c>
      <c r="F93" t="s">
        <v>146</v>
      </c>
      <c r="G93">
        <v>251000</v>
      </c>
      <c r="I93" t="s">
        <v>14</v>
      </c>
    </row>
    <row r="94" spans="1:9">
      <c r="A94" t="s">
        <v>9</v>
      </c>
      <c r="B94" t="s">
        <v>10</v>
      </c>
      <c r="C94">
        <v>65</v>
      </c>
      <c r="D94" t="s">
        <v>11</v>
      </c>
      <c r="E94" t="s">
        <v>147</v>
      </c>
      <c r="F94" t="s">
        <v>148</v>
      </c>
      <c r="G94">
        <v>182000</v>
      </c>
      <c r="I94" t="s">
        <v>14</v>
      </c>
    </row>
    <row r="95" spans="1:9">
      <c r="A95" t="s">
        <v>9</v>
      </c>
      <c r="B95" t="s">
        <v>10</v>
      </c>
      <c r="C95">
        <v>65</v>
      </c>
      <c r="D95" t="s">
        <v>11</v>
      </c>
      <c r="E95" t="s">
        <v>149</v>
      </c>
      <c r="F95" t="s">
        <v>150</v>
      </c>
      <c r="G95">
        <v>62600</v>
      </c>
      <c r="I95" t="s">
        <v>14</v>
      </c>
    </row>
    <row r="96" spans="1:9">
      <c r="A96" t="s">
        <v>9</v>
      </c>
      <c r="B96" t="s">
        <v>10</v>
      </c>
      <c r="C96">
        <v>65</v>
      </c>
      <c r="D96" t="s">
        <v>11</v>
      </c>
      <c r="E96" t="s">
        <v>151</v>
      </c>
      <c r="F96" t="s">
        <v>152</v>
      </c>
      <c r="G96">
        <v>23900</v>
      </c>
      <c r="I96" t="s">
        <v>14</v>
      </c>
    </row>
    <row r="97" spans="1:9">
      <c r="A97" t="s">
        <v>9</v>
      </c>
      <c r="B97" t="s">
        <v>10</v>
      </c>
      <c r="C97">
        <v>65</v>
      </c>
      <c r="D97" t="s">
        <v>11</v>
      </c>
      <c r="E97" t="s">
        <v>153</v>
      </c>
      <c r="F97" t="s">
        <v>154</v>
      </c>
      <c r="G97">
        <v>5060</v>
      </c>
      <c r="I97" t="s">
        <v>14</v>
      </c>
    </row>
    <row r="98" spans="1:9">
      <c r="A98" t="s">
        <v>9</v>
      </c>
      <c r="B98" t="s">
        <v>10</v>
      </c>
      <c r="C98">
        <v>65</v>
      </c>
      <c r="D98" t="s">
        <v>11</v>
      </c>
      <c r="E98" t="s">
        <v>155</v>
      </c>
      <c r="F98" t="s">
        <v>156</v>
      </c>
      <c r="G98">
        <v>13800</v>
      </c>
      <c r="I98" t="s">
        <v>14</v>
      </c>
    </row>
    <row r="99" spans="1:9">
      <c r="A99" t="s">
        <v>9</v>
      </c>
      <c r="B99" t="s">
        <v>10</v>
      </c>
      <c r="C99">
        <v>65</v>
      </c>
      <c r="D99" t="s">
        <v>11</v>
      </c>
      <c r="E99" t="s">
        <v>157</v>
      </c>
      <c r="F99" t="s">
        <v>158</v>
      </c>
      <c r="G99">
        <v>12800</v>
      </c>
      <c r="I99" t="s">
        <v>14</v>
      </c>
    </row>
    <row r="100" spans="1:9">
      <c r="A100" t="s">
        <v>9</v>
      </c>
      <c r="B100" t="s">
        <v>10</v>
      </c>
      <c r="C100">
        <v>65</v>
      </c>
      <c r="D100" t="s">
        <v>11</v>
      </c>
      <c r="E100" t="s">
        <v>159</v>
      </c>
      <c r="F100" t="s">
        <v>160</v>
      </c>
      <c r="G100">
        <v>21100</v>
      </c>
      <c r="I100" t="s">
        <v>14</v>
      </c>
    </row>
    <row r="101" spans="1:9">
      <c r="A101" t="s">
        <v>9</v>
      </c>
      <c r="B101" t="s">
        <v>10</v>
      </c>
      <c r="C101">
        <v>65</v>
      </c>
      <c r="D101" t="s">
        <v>11</v>
      </c>
      <c r="E101" t="s">
        <v>161</v>
      </c>
      <c r="F101" t="s">
        <v>162</v>
      </c>
      <c r="G101">
        <v>405000</v>
      </c>
      <c r="I101" t="s">
        <v>14</v>
      </c>
    </row>
    <row r="102" spans="1:9">
      <c r="A102" t="s">
        <v>9</v>
      </c>
      <c r="B102" t="s">
        <v>10</v>
      </c>
      <c r="C102">
        <v>65</v>
      </c>
      <c r="D102" t="s">
        <v>11</v>
      </c>
      <c r="E102" t="s">
        <v>163</v>
      </c>
      <c r="F102" t="s">
        <v>164</v>
      </c>
      <c r="G102">
        <v>276000</v>
      </c>
      <c r="I102" t="s">
        <v>14</v>
      </c>
    </row>
    <row r="103" spans="1:9">
      <c r="A103" t="s">
        <v>9</v>
      </c>
      <c r="B103" t="s">
        <v>10</v>
      </c>
      <c r="C103">
        <v>65</v>
      </c>
      <c r="D103" t="s">
        <v>11</v>
      </c>
      <c r="E103" t="s">
        <v>165</v>
      </c>
      <c r="F103" t="s">
        <v>166</v>
      </c>
      <c r="G103">
        <v>180000</v>
      </c>
      <c r="I103" t="s">
        <v>14</v>
      </c>
    </row>
    <row r="104" spans="1:9">
      <c r="A104" t="s">
        <v>9</v>
      </c>
      <c r="B104" t="s">
        <v>10</v>
      </c>
      <c r="C104">
        <v>65</v>
      </c>
      <c r="D104" t="s">
        <v>11</v>
      </c>
      <c r="E104" t="s">
        <v>167</v>
      </c>
      <c r="F104" t="s">
        <v>168</v>
      </c>
      <c r="G104">
        <v>340000</v>
      </c>
      <c r="I104" t="s">
        <v>14</v>
      </c>
    </row>
    <row r="105" spans="1:9">
      <c r="A105" t="s">
        <v>9</v>
      </c>
      <c r="B105" t="s">
        <v>10</v>
      </c>
      <c r="C105">
        <v>65</v>
      </c>
      <c r="D105" t="s">
        <v>11</v>
      </c>
      <c r="E105" t="s">
        <v>169</v>
      </c>
      <c r="F105" t="s">
        <v>170</v>
      </c>
      <c r="G105">
        <v>520000</v>
      </c>
      <c r="I105" t="s">
        <v>14</v>
      </c>
    </row>
    <row r="106" spans="1:9">
      <c r="A106" t="s">
        <v>9</v>
      </c>
      <c r="B106" t="s">
        <v>10</v>
      </c>
      <c r="C106">
        <v>65</v>
      </c>
      <c r="D106" t="s">
        <v>11</v>
      </c>
      <c r="E106" t="s">
        <v>171</v>
      </c>
      <c r="F106" t="s">
        <v>172</v>
      </c>
      <c r="G106">
        <v>646000</v>
      </c>
      <c r="I106" t="s">
        <v>14</v>
      </c>
    </row>
    <row r="107" spans="1:9">
      <c r="A107" t="s">
        <v>9</v>
      </c>
      <c r="B107" t="s">
        <v>10</v>
      </c>
      <c r="C107">
        <v>65</v>
      </c>
      <c r="D107" t="s">
        <v>11</v>
      </c>
      <c r="E107" t="s">
        <v>173</v>
      </c>
      <c r="F107" t="s">
        <v>174</v>
      </c>
      <c r="G107">
        <v>212000</v>
      </c>
      <c r="I107" t="s">
        <v>14</v>
      </c>
    </row>
    <row r="108" spans="1:9">
      <c r="A108" t="s">
        <v>9</v>
      </c>
      <c r="B108" t="s">
        <v>10</v>
      </c>
      <c r="C108">
        <v>65</v>
      </c>
      <c r="D108" t="s">
        <v>11</v>
      </c>
      <c r="E108" t="s">
        <v>175</v>
      </c>
      <c r="F108" t="s">
        <v>176</v>
      </c>
      <c r="G108">
        <v>31800</v>
      </c>
      <c r="I108" t="s">
        <v>14</v>
      </c>
    </row>
    <row r="109" spans="1:9">
      <c r="A109" t="s">
        <v>9</v>
      </c>
      <c r="B109" t="s">
        <v>10</v>
      </c>
      <c r="C109">
        <v>65</v>
      </c>
      <c r="D109" t="s">
        <v>11</v>
      </c>
      <c r="E109" t="s">
        <v>177</v>
      </c>
      <c r="F109" t="s">
        <v>178</v>
      </c>
      <c r="G109">
        <v>10900</v>
      </c>
      <c r="I109" t="s">
        <v>14</v>
      </c>
    </row>
    <row r="110" spans="1:9">
      <c r="A110" t="s">
        <v>9</v>
      </c>
      <c r="B110" t="s">
        <v>10</v>
      </c>
      <c r="C110">
        <v>65</v>
      </c>
      <c r="D110" t="s">
        <v>11</v>
      </c>
      <c r="E110" t="s">
        <v>179</v>
      </c>
      <c r="F110" t="s">
        <v>180</v>
      </c>
      <c r="G110">
        <v>28400</v>
      </c>
      <c r="I110" t="s">
        <v>14</v>
      </c>
    </row>
    <row r="111" spans="1:9">
      <c r="A111" t="s">
        <v>9</v>
      </c>
      <c r="B111" t="s">
        <v>10</v>
      </c>
      <c r="C111">
        <v>65</v>
      </c>
      <c r="D111" t="s">
        <v>11</v>
      </c>
      <c r="E111" t="s">
        <v>181</v>
      </c>
      <c r="F111" t="s">
        <v>182</v>
      </c>
      <c r="G111">
        <v>154000</v>
      </c>
      <c r="I111" t="s">
        <v>14</v>
      </c>
    </row>
    <row r="112" spans="1:9">
      <c r="A112" t="s">
        <v>9</v>
      </c>
      <c r="B112" t="s">
        <v>10</v>
      </c>
      <c r="C112">
        <v>65</v>
      </c>
      <c r="D112" t="s">
        <v>11</v>
      </c>
      <c r="E112" t="s">
        <v>183</v>
      </c>
      <c r="F112" t="s">
        <v>184</v>
      </c>
      <c r="G112">
        <v>237000</v>
      </c>
      <c r="I112" t="s">
        <v>14</v>
      </c>
    </row>
    <row r="113" spans="1:9">
      <c r="A113" t="s">
        <v>9</v>
      </c>
      <c r="B113" t="s">
        <v>10</v>
      </c>
      <c r="C113">
        <v>65</v>
      </c>
      <c r="D113" t="s">
        <v>11</v>
      </c>
      <c r="E113" t="s">
        <v>185</v>
      </c>
      <c r="F113" t="s">
        <v>186</v>
      </c>
      <c r="G113">
        <v>197000</v>
      </c>
      <c r="I113" t="s">
        <v>14</v>
      </c>
    </row>
    <row r="114" spans="1:9">
      <c r="A114" t="s">
        <v>9</v>
      </c>
      <c r="B114" t="s">
        <v>10</v>
      </c>
      <c r="C114">
        <v>65</v>
      </c>
      <c r="D114" t="s">
        <v>11</v>
      </c>
      <c r="E114" t="s">
        <v>187</v>
      </c>
      <c r="F114" t="s">
        <v>188</v>
      </c>
      <c r="G114">
        <v>108000</v>
      </c>
      <c r="I114" t="s">
        <v>14</v>
      </c>
    </row>
    <row r="115" spans="1:9">
      <c r="A115" t="s">
        <v>9</v>
      </c>
      <c r="B115" t="s">
        <v>10</v>
      </c>
      <c r="C115">
        <v>65</v>
      </c>
      <c r="D115" t="s">
        <v>11</v>
      </c>
      <c r="E115" t="s">
        <v>189</v>
      </c>
      <c r="F115" t="s">
        <v>190</v>
      </c>
      <c r="G115">
        <v>241000</v>
      </c>
      <c r="I115" t="s">
        <v>14</v>
      </c>
    </row>
    <row r="116" spans="1:9">
      <c r="A116" t="s">
        <v>9</v>
      </c>
      <c r="B116" t="s">
        <v>10</v>
      </c>
      <c r="C116">
        <v>65</v>
      </c>
      <c r="D116" t="s">
        <v>11</v>
      </c>
      <c r="E116" t="s">
        <v>191</v>
      </c>
      <c r="F116" t="s">
        <v>192</v>
      </c>
      <c r="G116">
        <v>419000</v>
      </c>
      <c r="I116" t="s">
        <v>14</v>
      </c>
    </row>
    <row r="117" spans="1:9">
      <c r="A117" t="s">
        <v>9</v>
      </c>
      <c r="B117" t="s">
        <v>10</v>
      </c>
      <c r="C117">
        <v>65</v>
      </c>
      <c r="D117" t="s">
        <v>11</v>
      </c>
      <c r="E117" t="s">
        <v>193</v>
      </c>
      <c r="F117" t="s">
        <v>194</v>
      </c>
      <c r="G117">
        <v>465000</v>
      </c>
      <c r="I117" t="s">
        <v>14</v>
      </c>
    </row>
    <row r="118" spans="1:9">
      <c r="A118" t="s">
        <v>9</v>
      </c>
      <c r="B118" t="s">
        <v>10</v>
      </c>
      <c r="C118">
        <v>65</v>
      </c>
      <c r="D118" t="s">
        <v>11</v>
      </c>
      <c r="E118" t="s">
        <v>195</v>
      </c>
      <c r="F118" t="s">
        <v>196</v>
      </c>
      <c r="G118">
        <v>202000</v>
      </c>
      <c r="I118" t="s">
        <v>14</v>
      </c>
    </row>
    <row r="119" spans="1:9">
      <c r="A119" t="s">
        <v>9</v>
      </c>
      <c r="B119" t="s">
        <v>10</v>
      </c>
      <c r="C119">
        <v>65</v>
      </c>
      <c r="D119" t="s">
        <v>11</v>
      </c>
      <c r="E119" t="s">
        <v>197</v>
      </c>
      <c r="F119" t="s">
        <v>198</v>
      </c>
      <c r="G119">
        <v>51400</v>
      </c>
      <c r="I119" t="s">
        <v>14</v>
      </c>
    </row>
    <row r="120" spans="1:9">
      <c r="A120" t="s">
        <v>9</v>
      </c>
      <c r="B120" t="s">
        <v>10</v>
      </c>
      <c r="C120">
        <v>65</v>
      </c>
      <c r="D120" t="s">
        <v>11</v>
      </c>
      <c r="E120" t="s">
        <v>199</v>
      </c>
      <c r="F120" t="s">
        <v>200</v>
      </c>
      <c r="G120">
        <v>12100</v>
      </c>
      <c r="I120" t="s">
        <v>14</v>
      </c>
    </row>
    <row r="121" spans="1:9">
      <c r="A121" t="s">
        <v>9</v>
      </c>
      <c r="B121" t="s">
        <v>10</v>
      </c>
      <c r="C121">
        <v>65</v>
      </c>
      <c r="D121" t="s">
        <v>11</v>
      </c>
      <c r="E121" t="s">
        <v>201</v>
      </c>
      <c r="F121" t="s">
        <v>202</v>
      </c>
      <c r="G121">
        <v>16800</v>
      </c>
      <c r="I121" t="s">
        <v>14</v>
      </c>
    </row>
    <row r="122" spans="1:9">
      <c r="A122" t="s">
        <v>9</v>
      </c>
      <c r="B122" t="s">
        <v>10</v>
      </c>
      <c r="C122">
        <v>65</v>
      </c>
      <c r="D122" t="s">
        <v>11</v>
      </c>
      <c r="E122" t="s">
        <v>203</v>
      </c>
      <c r="F122" t="s">
        <v>204</v>
      </c>
      <c r="G122">
        <v>16600</v>
      </c>
      <c r="I122" t="s">
        <v>14</v>
      </c>
    </row>
    <row r="123" spans="1:9">
      <c r="A123" t="s">
        <v>9</v>
      </c>
      <c r="B123" t="s">
        <v>10</v>
      </c>
      <c r="C123">
        <v>65</v>
      </c>
      <c r="D123" t="s">
        <v>11</v>
      </c>
      <c r="E123" t="s">
        <v>205</v>
      </c>
      <c r="F123" t="s">
        <v>206</v>
      </c>
      <c r="G123">
        <v>20300</v>
      </c>
      <c r="I123" t="s">
        <v>14</v>
      </c>
    </row>
    <row r="124" spans="1:9">
      <c r="A124" t="s">
        <v>9</v>
      </c>
      <c r="B124" t="s">
        <v>10</v>
      </c>
      <c r="C124">
        <v>65</v>
      </c>
      <c r="D124" t="s">
        <v>11</v>
      </c>
      <c r="E124" t="s">
        <v>207</v>
      </c>
      <c r="F124" t="s">
        <v>208</v>
      </c>
      <c r="G124">
        <v>39800</v>
      </c>
      <c r="I124" t="s">
        <v>14</v>
      </c>
    </row>
    <row r="125" spans="1:9">
      <c r="A125" t="s">
        <v>9</v>
      </c>
      <c r="B125" t="s">
        <v>10</v>
      </c>
      <c r="C125">
        <v>65</v>
      </c>
      <c r="D125" t="s">
        <v>11</v>
      </c>
      <c r="E125" t="s">
        <v>209</v>
      </c>
      <c r="F125" t="s">
        <v>210</v>
      </c>
      <c r="G125">
        <v>373000</v>
      </c>
      <c r="I125" t="s">
        <v>14</v>
      </c>
    </row>
    <row r="126" spans="1:9">
      <c r="A126" t="s">
        <v>9</v>
      </c>
      <c r="B126" t="s">
        <v>10</v>
      </c>
      <c r="C126">
        <v>65</v>
      </c>
      <c r="D126" t="s">
        <v>11</v>
      </c>
      <c r="E126" t="s">
        <v>211</v>
      </c>
      <c r="F126" t="s">
        <v>212</v>
      </c>
      <c r="G126">
        <v>221000</v>
      </c>
      <c r="I126" t="s">
        <v>14</v>
      </c>
    </row>
    <row r="127" spans="1:9">
      <c r="A127" t="s">
        <v>9</v>
      </c>
      <c r="B127" t="s">
        <v>10</v>
      </c>
      <c r="C127">
        <v>65</v>
      </c>
      <c r="D127" t="s">
        <v>11</v>
      </c>
      <c r="E127" t="s">
        <v>213</v>
      </c>
      <c r="F127" t="s">
        <v>214</v>
      </c>
      <c r="G127">
        <v>450000</v>
      </c>
      <c r="I127" t="s">
        <v>14</v>
      </c>
    </row>
    <row r="128" spans="1:9">
      <c r="A128" t="s">
        <v>9</v>
      </c>
      <c r="B128" t="s">
        <v>10</v>
      </c>
      <c r="C128">
        <v>65</v>
      </c>
      <c r="D128" t="s">
        <v>11</v>
      </c>
      <c r="E128" t="s">
        <v>215</v>
      </c>
      <c r="F128" t="s">
        <v>216</v>
      </c>
      <c r="G128">
        <v>438000</v>
      </c>
      <c r="I128" t="s">
        <v>14</v>
      </c>
    </row>
    <row r="129" spans="1:9">
      <c r="A129" t="s">
        <v>9</v>
      </c>
      <c r="B129" t="s">
        <v>10</v>
      </c>
      <c r="C129">
        <v>65</v>
      </c>
      <c r="D129" t="s">
        <v>11</v>
      </c>
      <c r="E129" t="s">
        <v>217</v>
      </c>
      <c r="F129" t="s">
        <v>218</v>
      </c>
      <c r="G129">
        <v>516000</v>
      </c>
      <c r="I129" t="s">
        <v>14</v>
      </c>
    </row>
    <row r="130" spans="1:9">
      <c r="A130" t="s">
        <v>9</v>
      </c>
      <c r="B130" t="s">
        <v>10</v>
      </c>
      <c r="C130">
        <v>65</v>
      </c>
      <c r="D130" t="s">
        <v>11</v>
      </c>
      <c r="E130" t="s">
        <v>219</v>
      </c>
      <c r="F130" t="s">
        <v>220</v>
      </c>
      <c r="G130">
        <v>817000</v>
      </c>
      <c r="I130" t="s">
        <v>14</v>
      </c>
    </row>
    <row r="131" spans="1:9">
      <c r="A131" t="s">
        <v>9</v>
      </c>
      <c r="B131" t="s">
        <v>10</v>
      </c>
      <c r="C131">
        <v>65</v>
      </c>
      <c r="D131" t="s">
        <v>11</v>
      </c>
      <c r="E131" t="s">
        <v>221</v>
      </c>
      <c r="F131" t="s">
        <v>222</v>
      </c>
      <c r="G131">
        <v>451000</v>
      </c>
      <c r="I131" t="s">
        <v>14</v>
      </c>
    </row>
    <row r="132" spans="1:9">
      <c r="A132" t="s">
        <v>9</v>
      </c>
      <c r="B132" t="s">
        <v>10</v>
      </c>
      <c r="C132">
        <v>65</v>
      </c>
      <c r="D132" t="s">
        <v>11</v>
      </c>
      <c r="E132" t="s">
        <v>223</v>
      </c>
      <c r="F132" t="s">
        <v>224</v>
      </c>
      <c r="G132">
        <v>63800</v>
      </c>
      <c r="I132" t="s">
        <v>14</v>
      </c>
    </row>
    <row r="133" spans="1:9">
      <c r="A133" t="s">
        <v>9</v>
      </c>
      <c r="B133" t="s">
        <v>10</v>
      </c>
      <c r="C133">
        <v>65</v>
      </c>
      <c r="D133" t="s">
        <v>11</v>
      </c>
      <c r="E133" t="s">
        <v>225</v>
      </c>
      <c r="F133" t="s">
        <v>226</v>
      </c>
      <c r="G133">
        <v>15600</v>
      </c>
      <c r="I133" t="s">
        <v>14</v>
      </c>
    </row>
    <row r="134" spans="1:9">
      <c r="A134" t="s">
        <v>9</v>
      </c>
      <c r="B134" t="s">
        <v>10</v>
      </c>
      <c r="C134">
        <v>65</v>
      </c>
      <c r="D134" t="s">
        <v>11</v>
      </c>
      <c r="E134" t="s">
        <v>227</v>
      </c>
      <c r="F134" t="s">
        <v>228</v>
      </c>
      <c r="G134">
        <v>9350</v>
      </c>
      <c r="I134" t="s">
        <v>14</v>
      </c>
    </row>
    <row r="135" spans="1:9">
      <c r="A135" t="s">
        <v>9</v>
      </c>
      <c r="B135" t="s">
        <v>10</v>
      </c>
      <c r="C135">
        <v>65</v>
      </c>
      <c r="D135" t="s">
        <v>11</v>
      </c>
      <c r="E135" t="s">
        <v>229</v>
      </c>
      <c r="F135" t="s">
        <v>230</v>
      </c>
      <c r="G135">
        <v>8450</v>
      </c>
      <c r="I135" t="s">
        <v>14</v>
      </c>
    </row>
    <row r="136" spans="1:9">
      <c r="A136" t="s">
        <v>9</v>
      </c>
      <c r="B136" t="s">
        <v>10</v>
      </c>
      <c r="C136">
        <v>65</v>
      </c>
      <c r="D136" t="s">
        <v>11</v>
      </c>
      <c r="E136" t="s">
        <v>231</v>
      </c>
      <c r="F136" t="s">
        <v>232</v>
      </c>
      <c r="G136">
        <v>13900</v>
      </c>
      <c r="I136" t="s">
        <v>14</v>
      </c>
    </row>
    <row r="137" spans="1:9">
      <c r="A137" t="s">
        <v>9</v>
      </c>
      <c r="B137" t="s">
        <v>10</v>
      </c>
      <c r="C137">
        <v>65</v>
      </c>
      <c r="D137" t="s">
        <v>11</v>
      </c>
      <c r="E137" t="s">
        <v>233</v>
      </c>
      <c r="F137" t="s">
        <v>234</v>
      </c>
      <c r="G137">
        <v>27700</v>
      </c>
      <c r="I137" t="s">
        <v>14</v>
      </c>
    </row>
    <row r="138" spans="1:9">
      <c r="A138" t="s">
        <v>9</v>
      </c>
      <c r="B138" t="s">
        <v>10</v>
      </c>
      <c r="C138">
        <v>65</v>
      </c>
      <c r="D138" t="s">
        <v>11</v>
      </c>
      <c r="E138" t="s">
        <v>235</v>
      </c>
      <c r="F138" t="s">
        <v>236</v>
      </c>
      <c r="G138">
        <v>27700</v>
      </c>
      <c r="I138" t="s">
        <v>14</v>
      </c>
    </row>
    <row r="139" spans="1:9">
      <c r="A139" t="s">
        <v>9</v>
      </c>
      <c r="B139" t="s">
        <v>10</v>
      </c>
      <c r="C139">
        <v>65</v>
      </c>
      <c r="D139" t="s">
        <v>11</v>
      </c>
      <c r="E139" t="s">
        <v>237</v>
      </c>
      <c r="F139" t="s">
        <v>238</v>
      </c>
      <c r="G139">
        <v>60600</v>
      </c>
      <c r="I139" t="s">
        <v>14</v>
      </c>
    </row>
    <row r="140" spans="1:9">
      <c r="A140" t="s">
        <v>9</v>
      </c>
      <c r="B140" t="s">
        <v>10</v>
      </c>
      <c r="C140">
        <v>65</v>
      </c>
      <c r="D140" t="s">
        <v>11</v>
      </c>
      <c r="E140" t="s">
        <v>239</v>
      </c>
      <c r="F140" t="s">
        <v>240</v>
      </c>
      <c r="G140">
        <v>101000</v>
      </c>
      <c r="I140" t="s">
        <v>14</v>
      </c>
    </row>
    <row r="141" spans="1:9">
      <c r="A141" t="s">
        <v>9</v>
      </c>
      <c r="B141" t="s">
        <v>10</v>
      </c>
      <c r="C141">
        <v>65</v>
      </c>
      <c r="D141" t="s">
        <v>11</v>
      </c>
      <c r="E141" t="s">
        <v>241</v>
      </c>
      <c r="F141" t="s">
        <v>242</v>
      </c>
      <c r="G141">
        <v>333000</v>
      </c>
      <c r="I141" t="s">
        <v>14</v>
      </c>
    </row>
    <row r="142" spans="1:9">
      <c r="A142" t="s">
        <v>9</v>
      </c>
      <c r="B142" t="s">
        <v>10</v>
      </c>
      <c r="C142">
        <v>65</v>
      </c>
      <c r="D142" t="s">
        <v>11</v>
      </c>
      <c r="E142" t="s">
        <v>243</v>
      </c>
      <c r="F142" t="s">
        <v>244</v>
      </c>
      <c r="G142">
        <v>384000</v>
      </c>
      <c r="I142" t="s">
        <v>14</v>
      </c>
    </row>
    <row r="143" spans="1:9">
      <c r="A143" t="s">
        <v>9</v>
      </c>
      <c r="B143" t="s">
        <v>10</v>
      </c>
      <c r="C143">
        <v>65</v>
      </c>
      <c r="D143" t="s">
        <v>11</v>
      </c>
      <c r="E143" t="s">
        <v>245</v>
      </c>
      <c r="F143" t="s">
        <v>246</v>
      </c>
      <c r="G143">
        <v>65800</v>
      </c>
      <c r="I143" t="s">
        <v>14</v>
      </c>
    </row>
    <row r="144" spans="1:9">
      <c r="A144" t="s">
        <v>9</v>
      </c>
      <c r="B144" t="s">
        <v>10</v>
      </c>
      <c r="C144">
        <v>65</v>
      </c>
      <c r="D144" t="s">
        <v>11</v>
      </c>
      <c r="E144" t="s">
        <v>247</v>
      </c>
      <c r="F144" t="s">
        <v>248</v>
      </c>
      <c r="G144">
        <v>12400</v>
      </c>
      <c r="I144" t="s">
        <v>14</v>
      </c>
    </row>
    <row r="145" spans="1:9">
      <c r="A145" t="s">
        <v>9</v>
      </c>
      <c r="B145" t="s">
        <v>10</v>
      </c>
      <c r="C145">
        <v>65</v>
      </c>
      <c r="D145" t="s">
        <v>11</v>
      </c>
      <c r="E145" t="s">
        <v>249</v>
      </c>
      <c r="F145" t="s">
        <v>250</v>
      </c>
      <c r="G145">
        <v>7080</v>
      </c>
      <c r="I145" t="s">
        <v>14</v>
      </c>
    </row>
    <row r="146" spans="1:9">
      <c r="A146" t="s">
        <v>9</v>
      </c>
      <c r="B146" t="s">
        <v>10</v>
      </c>
      <c r="C146">
        <v>65</v>
      </c>
      <c r="D146" t="s">
        <v>11</v>
      </c>
      <c r="E146" t="s">
        <v>251</v>
      </c>
      <c r="F146" t="s">
        <v>252</v>
      </c>
      <c r="G146">
        <v>3530</v>
      </c>
      <c r="I146" t="s">
        <v>14</v>
      </c>
    </row>
    <row r="147" spans="1:9">
      <c r="A147" t="s">
        <v>9</v>
      </c>
      <c r="B147" t="s">
        <v>10</v>
      </c>
      <c r="C147">
        <v>65</v>
      </c>
      <c r="D147" t="s">
        <v>11</v>
      </c>
      <c r="E147" t="s">
        <v>253</v>
      </c>
      <c r="F147" t="s">
        <v>254</v>
      </c>
      <c r="G147">
        <v>26500</v>
      </c>
      <c r="I147" t="s">
        <v>14</v>
      </c>
    </row>
    <row r="148" spans="1:9">
      <c r="A148" t="s">
        <v>9</v>
      </c>
      <c r="B148" t="s">
        <v>10</v>
      </c>
      <c r="C148">
        <v>65</v>
      </c>
      <c r="D148" t="s">
        <v>11</v>
      </c>
      <c r="E148" t="s">
        <v>255</v>
      </c>
      <c r="F148" t="s">
        <v>256</v>
      </c>
      <c r="G148">
        <v>12600</v>
      </c>
      <c r="I148" t="s">
        <v>14</v>
      </c>
    </row>
    <row r="149" spans="1:9">
      <c r="A149" t="s">
        <v>9</v>
      </c>
      <c r="B149" t="s">
        <v>10</v>
      </c>
      <c r="C149">
        <v>65</v>
      </c>
      <c r="D149" t="s">
        <v>11</v>
      </c>
      <c r="E149" t="s">
        <v>257</v>
      </c>
      <c r="F149" t="s">
        <v>258</v>
      </c>
      <c r="G149">
        <v>22000</v>
      </c>
      <c r="I149" t="s">
        <v>14</v>
      </c>
    </row>
    <row r="150" spans="1:9">
      <c r="A150" t="s">
        <v>9</v>
      </c>
      <c r="B150" t="s">
        <v>10</v>
      </c>
      <c r="C150">
        <v>65</v>
      </c>
      <c r="D150" t="s">
        <v>11</v>
      </c>
      <c r="E150" t="s">
        <v>259</v>
      </c>
      <c r="F150" t="s">
        <v>260</v>
      </c>
      <c r="G150">
        <v>28900</v>
      </c>
      <c r="I150" t="s">
        <v>14</v>
      </c>
    </row>
    <row r="151" spans="1:9">
      <c r="A151" t="s">
        <v>9</v>
      </c>
      <c r="B151" t="s">
        <v>10</v>
      </c>
      <c r="C151">
        <v>65</v>
      </c>
      <c r="D151" t="s">
        <v>11</v>
      </c>
      <c r="E151" t="s">
        <v>261</v>
      </c>
      <c r="F151" t="s">
        <v>262</v>
      </c>
      <c r="G151">
        <v>53300</v>
      </c>
      <c r="I151" t="s">
        <v>14</v>
      </c>
    </row>
    <row r="152" spans="1:9">
      <c r="A152" t="s">
        <v>9</v>
      </c>
      <c r="B152" t="s">
        <v>10</v>
      </c>
      <c r="C152">
        <v>65</v>
      </c>
      <c r="D152" t="s">
        <v>11</v>
      </c>
      <c r="E152" t="s">
        <v>263</v>
      </c>
      <c r="F152" t="s">
        <v>264</v>
      </c>
      <c r="G152">
        <v>173000</v>
      </c>
      <c r="I152" t="s">
        <v>14</v>
      </c>
    </row>
    <row r="153" spans="1:9">
      <c r="A153" t="s">
        <v>9</v>
      </c>
      <c r="B153" t="s">
        <v>10</v>
      </c>
      <c r="C153">
        <v>65</v>
      </c>
      <c r="D153" t="s">
        <v>11</v>
      </c>
      <c r="E153" t="s">
        <v>265</v>
      </c>
      <c r="F153" t="s">
        <v>266</v>
      </c>
      <c r="G153">
        <v>392000</v>
      </c>
      <c r="I153" t="s">
        <v>14</v>
      </c>
    </row>
    <row r="154" spans="1:9">
      <c r="A154" t="s">
        <v>9</v>
      </c>
      <c r="B154" t="s">
        <v>10</v>
      </c>
      <c r="C154">
        <v>65</v>
      </c>
      <c r="D154" t="s">
        <v>11</v>
      </c>
      <c r="E154" t="s">
        <v>267</v>
      </c>
      <c r="F154" t="s">
        <v>268</v>
      </c>
      <c r="G154">
        <v>241000</v>
      </c>
      <c r="I154" t="s">
        <v>14</v>
      </c>
    </row>
    <row r="155" spans="1:9">
      <c r="A155" t="s">
        <v>9</v>
      </c>
      <c r="B155" t="s">
        <v>10</v>
      </c>
      <c r="C155">
        <v>65</v>
      </c>
      <c r="D155" t="s">
        <v>11</v>
      </c>
      <c r="E155" t="s">
        <v>269</v>
      </c>
      <c r="F155" t="s">
        <v>270</v>
      </c>
      <c r="G155">
        <v>72000</v>
      </c>
      <c r="I155" t="s">
        <v>14</v>
      </c>
    </row>
    <row r="156" spans="1:9">
      <c r="A156" t="s">
        <v>9</v>
      </c>
      <c r="B156" t="s">
        <v>10</v>
      </c>
      <c r="C156">
        <v>65</v>
      </c>
      <c r="D156" t="s">
        <v>11</v>
      </c>
      <c r="E156" t="s">
        <v>271</v>
      </c>
      <c r="F156" t="s">
        <v>272</v>
      </c>
      <c r="G156">
        <v>32000</v>
      </c>
      <c r="I156" t="s">
        <v>14</v>
      </c>
    </row>
    <row r="157" spans="1:9">
      <c r="A157" t="s">
        <v>9</v>
      </c>
      <c r="B157" t="s">
        <v>10</v>
      </c>
      <c r="C157">
        <v>65</v>
      </c>
      <c r="D157" t="s">
        <v>11</v>
      </c>
      <c r="E157" t="s">
        <v>273</v>
      </c>
      <c r="F157" t="s">
        <v>274</v>
      </c>
      <c r="G157">
        <v>24500</v>
      </c>
      <c r="I157" t="s">
        <v>14</v>
      </c>
    </row>
    <row r="158" spans="1:9">
      <c r="A158" t="s">
        <v>9</v>
      </c>
      <c r="B158" t="s">
        <v>10</v>
      </c>
      <c r="C158">
        <v>65</v>
      </c>
      <c r="D158" t="s">
        <v>11</v>
      </c>
      <c r="E158" t="s">
        <v>275</v>
      </c>
      <c r="F158" t="s">
        <v>276</v>
      </c>
      <c r="G158">
        <v>3900</v>
      </c>
      <c r="I158" t="s">
        <v>14</v>
      </c>
    </row>
    <row r="159" spans="1:9">
      <c r="A159" t="s">
        <v>9</v>
      </c>
      <c r="B159" t="s">
        <v>10</v>
      </c>
      <c r="C159">
        <v>65</v>
      </c>
      <c r="D159" t="s">
        <v>11</v>
      </c>
      <c r="E159" t="s">
        <v>277</v>
      </c>
      <c r="F159" t="s">
        <v>278</v>
      </c>
      <c r="G159">
        <v>13500</v>
      </c>
      <c r="I159" t="s">
        <v>14</v>
      </c>
    </row>
    <row r="160" spans="1:9">
      <c r="A160" t="s">
        <v>9</v>
      </c>
      <c r="B160" t="s">
        <v>10</v>
      </c>
      <c r="C160">
        <v>65</v>
      </c>
      <c r="D160" t="s">
        <v>11</v>
      </c>
      <c r="E160" t="s">
        <v>279</v>
      </c>
      <c r="F160" t="s">
        <v>280</v>
      </c>
      <c r="G160">
        <v>15300</v>
      </c>
      <c r="I160" t="s">
        <v>14</v>
      </c>
    </row>
    <row r="161" spans="1:9">
      <c r="A161" t="s">
        <v>9</v>
      </c>
      <c r="B161" t="s">
        <v>10</v>
      </c>
      <c r="C161">
        <v>65</v>
      </c>
      <c r="D161" t="s">
        <v>11</v>
      </c>
      <c r="E161" t="s">
        <v>281</v>
      </c>
      <c r="F161" t="s">
        <v>282</v>
      </c>
      <c r="G161">
        <v>416000</v>
      </c>
      <c r="I161" t="s">
        <v>14</v>
      </c>
    </row>
    <row r="162" spans="1:9">
      <c r="A162" t="s">
        <v>9</v>
      </c>
      <c r="B162" t="s">
        <v>10</v>
      </c>
      <c r="C162">
        <v>65</v>
      </c>
      <c r="D162" t="s">
        <v>11</v>
      </c>
      <c r="E162" t="s">
        <v>283</v>
      </c>
      <c r="F162" t="s">
        <v>284</v>
      </c>
      <c r="G162">
        <v>195000</v>
      </c>
      <c r="I162" t="s">
        <v>14</v>
      </c>
    </row>
    <row r="163" spans="1:9">
      <c r="A163" t="s">
        <v>9</v>
      </c>
      <c r="B163" t="s">
        <v>10</v>
      </c>
      <c r="C163">
        <v>65</v>
      </c>
      <c r="D163" t="s">
        <v>11</v>
      </c>
      <c r="E163" t="s">
        <v>285</v>
      </c>
      <c r="F163" t="s">
        <v>286</v>
      </c>
      <c r="G163">
        <v>235000</v>
      </c>
      <c r="I163" t="s">
        <v>14</v>
      </c>
    </row>
    <row r="164" spans="1:9">
      <c r="A164" t="s">
        <v>9</v>
      </c>
      <c r="B164" t="s">
        <v>10</v>
      </c>
      <c r="C164">
        <v>65</v>
      </c>
      <c r="D164" t="s">
        <v>11</v>
      </c>
      <c r="E164" t="s">
        <v>287</v>
      </c>
      <c r="F164" t="s">
        <v>288</v>
      </c>
      <c r="G164">
        <v>313000</v>
      </c>
      <c r="I164" t="s">
        <v>14</v>
      </c>
    </row>
    <row r="165" spans="1:9">
      <c r="A165" t="s">
        <v>9</v>
      </c>
      <c r="B165" t="s">
        <v>10</v>
      </c>
      <c r="C165">
        <v>65</v>
      </c>
      <c r="D165" t="s">
        <v>11</v>
      </c>
      <c r="E165" t="s">
        <v>289</v>
      </c>
      <c r="F165" t="s">
        <v>290</v>
      </c>
      <c r="G165">
        <v>568000</v>
      </c>
      <c r="I165" t="s">
        <v>14</v>
      </c>
    </row>
    <row r="166" spans="1:9">
      <c r="A166" t="s">
        <v>9</v>
      </c>
      <c r="B166" t="s">
        <v>10</v>
      </c>
      <c r="C166">
        <v>65</v>
      </c>
      <c r="D166" t="s">
        <v>11</v>
      </c>
      <c r="E166" t="s">
        <v>291</v>
      </c>
      <c r="F166" t="s">
        <v>292</v>
      </c>
      <c r="G166">
        <v>541000</v>
      </c>
      <c r="I166" t="s">
        <v>14</v>
      </c>
    </row>
    <row r="167" spans="1:9">
      <c r="A167" t="s">
        <v>9</v>
      </c>
      <c r="B167" t="s">
        <v>10</v>
      </c>
      <c r="C167">
        <v>65</v>
      </c>
      <c r="D167" t="s">
        <v>11</v>
      </c>
      <c r="E167" t="s">
        <v>293</v>
      </c>
      <c r="F167" t="s">
        <v>294</v>
      </c>
      <c r="G167">
        <v>259000</v>
      </c>
      <c r="I167" t="s">
        <v>14</v>
      </c>
    </row>
    <row r="168" spans="1:9">
      <c r="A168" t="s">
        <v>9</v>
      </c>
      <c r="B168" t="s">
        <v>10</v>
      </c>
      <c r="C168">
        <v>65</v>
      </c>
      <c r="D168" t="s">
        <v>11</v>
      </c>
      <c r="E168" t="s">
        <v>295</v>
      </c>
      <c r="F168" t="s">
        <v>296</v>
      </c>
      <c r="G168">
        <v>52400</v>
      </c>
      <c r="I168" t="s">
        <v>14</v>
      </c>
    </row>
    <row r="169" spans="1:9">
      <c r="A169" t="s">
        <v>9</v>
      </c>
      <c r="B169" t="s">
        <v>10</v>
      </c>
      <c r="C169">
        <v>65</v>
      </c>
      <c r="D169" t="s">
        <v>11</v>
      </c>
      <c r="E169" t="s">
        <v>297</v>
      </c>
      <c r="F169" t="s">
        <v>298</v>
      </c>
      <c r="G169">
        <v>11600</v>
      </c>
      <c r="I169" t="s">
        <v>14</v>
      </c>
    </row>
    <row r="170" spans="1:9">
      <c r="A170" t="s">
        <v>9</v>
      </c>
      <c r="B170" t="s">
        <v>10</v>
      </c>
      <c r="C170">
        <v>65</v>
      </c>
      <c r="D170" t="s">
        <v>11</v>
      </c>
      <c r="E170" t="s">
        <v>299</v>
      </c>
      <c r="F170" t="s">
        <v>300</v>
      </c>
      <c r="G170">
        <v>5550</v>
      </c>
      <c r="I170" t="s">
        <v>14</v>
      </c>
    </row>
    <row r="171" spans="1:9">
      <c r="A171" t="s">
        <v>9</v>
      </c>
      <c r="B171" t="s">
        <v>10</v>
      </c>
      <c r="C171">
        <v>65</v>
      </c>
      <c r="D171" t="s">
        <v>11</v>
      </c>
      <c r="E171" t="s">
        <v>301</v>
      </c>
      <c r="F171" t="s">
        <v>302</v>
      </c>
      <c r="G171">
        <v>5400</v>
      </c>
      <c r="I171" t="s">
        <v>14</v>
      </c>
    </row>
    <row r="172" spans="1:9">
      <c r="A172" t="s">
        <v>9</v>
      </c>
      <c r="B172" t="s">
        <v>10</v>
      </c>
      <c r="C172">
        <v>65</v>
      </c>
      <c r="D172" t="s">
        <v>11</v>
      </c>
      <c r="E172" t="s">
        <v>303</v>
      </c>
      <c r="F172" t="s">
        <v>304</v>
      </c>
      <c r="G172">
        <v>7500</v>
      </c>
      <c r="I172" t="s">
        <v>14</v>
      </c>
    </row>
    <row r="173" spans="1:9">
      <c r="A173" t="s">
        <v>9</v>
      </c>
      <c r="B173" t="s">
        <v>10</v>
      </c>
      <c r="C173">
        <v>65</v>
      </c>
      <c r="D173" t="s">
        <v>11</v>
      </c>
      <c r="E173" t="s">
        <v>305</v>
      </c>
      <c r="F173" t="s">
        <v>306</v>
      </c>
      <c r="G173">
        <v>56100</v>
      </c>
      <c r="I173" t="s">
        <v>14</v>
      </c>
    </row>
    <row r="174" spans="1:9">
      <c r="A174" t="s">
        <v>9</v>
      </c>
      <c r="B174" t="s">
        <v>10</v>
      </c>
      <c r="C174">
        <v>65</v>
      </c>
      <c r="D174" t="s">
        <v>11</v>
      </c>
      <c r="E174" t="s">
        <v>307</v>
      </c>
      <c r="F174" t="s">
        <v>308</v>
      </c>
      <c r="G174">
        <v>200000</v>
      </c>
      <c r="I174" t="s">
        <v>14</v>
      </c>
    </row>
    <row r="175" spans="1:9">
      <c r="A175" t="s">
        <v>9</v>
      </c>
      <c r="B175" t="s">
        <v>10</v>
      </c>
      <c r="C175">
        <v>65</v>
      </c>
      <c r="D175" t="s">
        <v>11</v>
      </c>
      <c r="E175" t="s">
        <v>309</v>
      </c>
      <c r="F175" t="s">
        <v>310</v>
      </c>
      <c r="G175">
        <v>180000</v>
      </c>
      <c r="I175" t="s">
        <v>14</v>
      </c>
    </row>
    <row r="176" spans="1:9">
      <c r="A176" t="s">
        <v>9</v>
      </c>
      <c r="B176" t="s">
        <v>10</v>
      </c>
      <c r="C176">
        <v>65</v>
      </c>
      <c r="D176" t="s">
        <v>11</v>
      </c>
      <c r="E176" t="s">
        <v>311</v>
      </c>
      <c r="F176" t="s">
        <v>312</v>
      </c>
      <c r="G176">
        <v>303000</v>
      </c>
      <c r="I176" t="s">
        <v>14</v>
      </c>
    </row>
    <row r="177" spans="1:9">
      <c r="A177" t="s">
        <v>9</v>
      </c>
      <c r="B177" t="s">
        <v>10</v>
      </c>
      <c r="C177">
        <v>65</v>
      </c>
      <c r="D177" t="s">
        <v>11</v>
      </c>
      <c r="E177" t="s">
        <v>313</v>
      </c>
      <c r="F177" t="s">
        <v>314</v>
      </c>
      <c r="G177">
        <v>472000</v>
      </c>
      <c r="I177" t="s">
        <v>14</v>
      </c>
    </row>
    <row r="178" spans="1:9">
      <c r="A178" t="s">
        <v>9</v>
      </c>
      <c r="B178" t="s">
        <v>10</v>
      </c>
      <c r="C178">
        <v>65</v>
      </c>
      <c r="D178" t="s">
        <v>11</v>
      </c>
      <c r="E178" t="s">
        <v>315</v>
      </c>
      <c r="F178" t="s">
        <v>316</v>
      </c>
      <c r="G178">
        <v>578000</v>
      </c>
      <c r="I178" t="s">
        <v>14</v>
      </c>
    </row>
    <row r="179" spans="1:9">
      <c r="A179" t="s">
        <v>9</v>
      </c>
      <c r="B179" t="s">
        <v>10</v>
      </c>
      <c r="C179">
        <v>65</v>
      </c>
      <c r="D179" t="s">
        <v>11</v>
      </c>
      <c r="E179" t="s">
        <v>317</v>
      </c>
      <c r="F179" t="s">
        <v>318</v>
      </c>
      <c r="G179">
        <v>208000</v>
      </c>
      <c r="I179" t="s">
        <v>14</v>
      </c>
    </row>
    <row r="180" spans="1:9">
      <c r="A180" t="s">
        <v>9</v>
      </c>
      <c r="B180" t="s">
        <v>10</v>
      </c>
      <c r="C180">
        <v>65</v>
      </c>
      <c r="D180" t="s">
        <v>11</v>
      </c>
      <c r="E180" t="s">
        <v>319</v>
      </c>
      <c r="F180" t="s">
        <v>320</v>
      </c>
      <c r="G180">
        <v>23600</v>
      </c>
      <c r="I180" t="s">
        <v>14</v>
      </c>
    </row>
    <row r="181" spans="1:9">
      <c r="A181" t="s">
        <v>9</v>
      </c>
      <c r="B181" t="s">
        <v>10</v>
      </c>
      <c r="C181">
        <v>65</v>
      </c>
      <c r="D181" t="s">
        <v>11</v>
      </c>
      <c r="E181" t="s">
        <v>321</v>
      </c>
      <c r="F181" t="s">
        <v>322</v>
      </c>
      <c r="G181">
        <v>5730</v>
      </c>
      <c r="I181" t="s">
        <v>14</v>
      </c>
    </row>
    <row r="182" spans="1:9">
      <c r="A182" t="s">
        <v>9</v>
      </c>
      <c r="B182" t="s">
        <v>10</v>
      </c>
      <c r="C182">
        <v>65</v>
      </c>
      <c r="D182" t="s">
        <v>11</v>
      </c>
      <c r="E182" t="s">
        <v>323</v>
      </c>
      <c r="F182" t="s">
        <v>324</v>
      </c>
      <c r="G182">
        <v>4840</v>
      </c>
      <c r="I182" t="s">
        <v>14</v>
      </c>
    </row>
    <row r="183" spans="1:9">
      <c r="A183" t="s">
        <v>9</v>
      </c>
      <c r="B183" t="s">
        <v>10</v>
      </c>
      <c r="C183">
        <v>65</v>
      </c>
      <c r="D183" t="s">
        <v>11</v>
      </c>
      <c r="E183" t="s">
        <v>325</v>
      </c>
      <c r="F183" t="s">
        <v>326</v>
      </c>
      <c r="G183">
        <v>3630</v>
      </c>
      <c r="I183" t="s">
        <v>14</v>
      </c>
    </row>
    <row r="184" spans="1:9">
      <c r="A184" t="s">
        <v>9</v>
      </c>
      <c r="B184" t="s">
        <v>10</v>
      </c>
      <c r="C184">
        <v>65</v>
      </c>
      <c r="D184" t="s">
        <v>11</v>
      </c>
      <c r="E184" t="s">
        <v>327</v>
      </c>
      <c r="F184" t="s">
        <v>328</v>
      </c>
      <c r="G184">
        <v>11100</v>
      </c>
      <c r="I184" t="s">
        <v>14</v>
      </c>
    </row>
    <row r="185" spans="1:9">
      <c r="A185" t="s">
        <v>9</v>
      </c>
      <c r="B185" t="s">
        <v>10</v>
      </c>
      <c r="C185">
        <v>65</v>
      </c>
      <c r="D185" t="s">
        <v>11</v>
      </c>
      <c r="E185" t="s">
        <v>329</v>
      </c>
      <c r="F185" t="s">
        <v>330</v>
      </c>
      <c r="G185">
        <v>221000</v>
      </c>
      <c r="I185" t="s">
        <v>14</v>
      </c>
    </row>
    <row r="186" spans="1:9">
      <c r="A186" t="s">
        <v>9</v>
      </c>
      <c r="B186" t="s">
        <v>10</v>
      </c>
      <c r="C186">
        <v>65</v>
      </c>
      <c r="D186" t="s">
        <v>11</v>
      </c>
      <c r="E186" t="s">
        <v>331</v>
      </c>
      <c r="F186" t="s">
        <v>332</v>
      </c>
      <c r="G186">
        <v>183000</v>
      </c>
      <c r="I186" t="s">
        <v>14</v>
      </c>
    </row>
    <row r="187" spans="1:9">
      <c r="A187" t="s">
        <v>9</v>
      </c>
      <c r="B187" t="s">
        <v>10</v>
      </c>
      <c r="C187">
        <v>65</v>
      </c>
      <c r="D187" t="s">
        <v>11</v>
      </c>
      <c r="E187" t="s">
        <v>333</v>
      </c>
      <c r="F187" t="s">
        <v>334</v>
      </c>
      <c r="G187">
        <v>403000</v>
      </c>
      <c r="I187" t="s">
        <v>14</v>
      </c>
    </row>
    <row r="188" spans="1:9">
      <c r="A188" t="s">
        <v>9</v>
      </c>
      <c r="B188" t="s">
        <v>10</v>
      </c>
      <c r="C188">
        <v>65</v>
      </c>
      <c r="D188" t="s">
        <v>11</v>
      </c>
      <c r="E188" t="s">
        <v>335</v>
      </c>
      <c r="F188" t="s">
        <v>336</v>
      </c>
      <c r="G188">
        <v>431000</v>
      </c>
      <c r="I188" t="s">
        <v>14</v>
      </c>
    </row>
    <row r="189" spans="1:9">
      <c r="A189" t="s">
        <v>9</v>
      </c>
      <c r="B189" t="s">
        <v>10</v>
      </c>
      <c r="C189">
        <v>65</v>
      </c>
      <c r="D189" t="s">
        <v>11</v>
      </c>
      <c r="E189" t="s">
        <v>337</v>
      </c>
      <c r="F189" t="s">
        <v>338</v>
      </c>
      <c r="G189">
        <v>491000</v>
      </c>
      <c r="I189" t="s">
        <v>14</v>
      </c>
    </row>
    <row r="190" spans="1:9">
      <c r="A190" t="s">
        <v>9</v>
      </c>
      <c r="B190" t="s">
        <v>10</v>
      </c>
      <c r="C190">
        <v>65</v>
      </c>
      <c r="D190" t="s">
        <v>11</v>
      </c>
      <c r="E190" t="s">
        <v>339</v>
      </c>
      <c r="F190" t="s">
        <v>340</v>
      </c>
      <c r="G190">
        <v>505000</v>
      </c>
      <c r="I190" t="s">
        <v>14</v>
      </c>
    </row>
    <row r="191" spans="1:9">
      <c r="A191" t="s">
        <v>9</v>
      </c>
      <c r="B191" t="s">
        <v>10</v>
      </c>
      <c r="C191">
        <v>65</v>
      </c>
      <c r="D191" t="s">
        <v>11</v>
      </c>
      <c r="E191" t="s">
        <v>341</v>
      </c>
      <c r="F191" t="s">
        <v>342</v>
      </c>
      <c r="G191">
        <v>196000</v>
      </c>
      <c r="I191" t="s">
        <v>14</v>
      </c>
    </row>
    <row r="192" spans="1:9">
      <c r="A192" t="s">
        <v>9</v>
      </c>
      <c r="B192" t="s">
        <v>10</v>
      </c>
      <c r="C192">
        <v>65</v>
      </c>
      <c r="D192" t="s">
        <v>11</v>
      </c>
      <c r="E192" t="s">
        <v>343</v>
      </c>
      <c r="F192" t="s">
        <v>344</v>
      </c>
      <c r="G192">
        <v>34400</v>
      </c>
      <c r="I192" t="s">
        <v>14</v>
      </c>
    </row>
    <row r="193" spans="1:9">
      <c r="A193" t="s">
        <v>9</v>
      </c>
      <c r="B193" t="s">
        <v>10</v>
      </c>
      <c r="C193">
        <v>65</v>
      </c>
      <c r="D193" t="s">
        <v>11</v>
      </c>
      <c r="E193" t="s">
        <v>345</v>
      </c>
      <c r="F193" t="s">
        <v>346</v>
      </c>
      <c r="G193">
        <v>14200</v>
      </c>
      <c r="I193" t="s">
        <v>14</v>
      </c>
    </row>
    <row r="194" spans="1:9">
      <c r="A194" t="s">
        <v>9</v>
      </c>
      <c r="B194" t="s">
        <v>10</v>
      </c>
      <c r="C194">
        <v>65</v>
      </c>
      <c r="D194" t="s">
        <v>11</v>
      </c>
      <c r="E194" t="s">
        <v>347</v>
      </c>
      <c r="F194" t="s">
        <v>348</v>
      </c>
      <c r="G194">
        <v>71300</v>
      </c>
      <c r="I194" t="s">
        <v>14</v>
      </c>
    </row>
    <row r="195" spans="1:9">
      <c r="A195" t="s">
        <v>9</v>
      </c>
      <c r="B195" t="s">
        <v>10</v>
      </c>
      <c r="C195">
        <v>65</v>
      </c>
      <c r="D195" t="s">
        <v>11</v>
      </c>
      <c r="E195" t="s">
        <v>349</v>
      </c>
      <c r="F195" t="s">
        <v>350</v>
      </c>
      <c r="G195">
        <v>35900</v>
      </c>
      <c r="I195" t="s">
        <v>14</v>
      </c>
    </row>
    <row r="196" spans="1:9">
      <c r="A196" t="s">
        <v>9</v>
      </c>
      <c r="B196" t="s">
        <v>10</v>
      </c>
      <c r="C196">
        <v>65</v>
      </c>
      <c r="D196" t="s">
        <v>11</v>
      </c>
      <c r="E196" t="s">
        <v>351</v>
      </c>
      <c r="F196" t="s">
        <v>352</v>
      </c>
      <c r="G196">
        <v>66400</v>
      </c>
      <c r="I196" t="s">
        <v>14</v>
      </c>
    </row>
    <row r="197" spans="1:9">
      <c r="A197" t="s">
        <v>9</v>
      </c>
      <c r="B197" t="s">
        <v>10</v>
      </c>
      <c r="C197">
        <v>65</v>
      </c>
      <c r="D197" t="s">
        <v>11</v>
      </c>
      <c r="E197" t="s">
        <v>353</v>
      </c>
      <c r="F197" t="s">
        <v>354</v>
      </c>
      <c r="G197">
        <v>53900</v>
      </c>
      <c r="I197" t="s">
        <v>14</v>
      </c>
    </row>
    <row r="198" spans="1:9">
      <c r="A198" t="s">
        <v>9</v>
      </c>
      <c r="B198" t="s">
        <v>10</v>
      </c>
      <c r="C198">
        <v>65</v>
      </c>
      <c r="D198" t="s">
        <v>11</v>
      </c>
      <c r="E198" t="s">
        <v>355</v>
      </c>
      <c r="F198" t="s">
        <v>356</v>
      </c>
      <c r="G198">
        <v>224000</v>
      </c>
      <c r="I198" t="s">
        <v>14</v>
      </c>
    </row>
    <row r="199" spans="1:9">
      <c r="A199" t="s">
        <v>9</v>
      </c>
      <c r="B199" t="s">
        <v>10</v>
      </c>
      <c r="C199">
        <v>65</v>
      </c>
      <c r="D199" t="s">
        <v>11</v>
      </c>
      <c r="E199" t="s">
        <v>357</v>
      </c>
      <c r="F199" t="s">
        <v>358</v>
      </c>
      <c r="G199">
        <v>141000</v>
      </c>
      <c r="I199" t="s">
        <v>14</v>
      </c>
    </row>
    <row r="200" spans="1:9">
      <c r="A200" t="s">
        <v>9</v>
      </c>
      <c r="B200" t="s">
        <v>10</v>
      </c>
      <c r="C200">
        <v>65</v>
      </c>
      <c r="D200" t="s">
        <v>11</v>
      </c>
      <c r="E200" t="s">
        <v>359</v>
      </c>
      <c r="F200" t="s">
        <v>360</v>
      </c>
      <c r="G200">
        <v>281000</v>
      </c>
      <c r="I200" t="s">
        <v>14</v>
      </c>
    </row>
    <row r="201" spans="1:9">
      <c r="A201" t="s">
        <v>9</v>
      </c>
      <c r="B201" t="s">
        <v>10</v>
      </c>
      <c r="C201">
        <v>65</v>
      </c>
      <c r="D201" t="s">
        <v>11</v>
      </c>
      <c r="E201" t="s">
        <v>361</v>
      </c>
      <c r="F201" t="s">
        <v>362</v>
      </c>
      <c r="G201">
        <v>437000</v>
      </c>
      <c r="I201" t="s">
        <v>14</v>
      </c>
    </row>
    <row r="202" spans="1:9">
      <c r="A202" t="s">
        <v>9</v>
      </c>
      <c r="B202" t="s">
        <v>10</v>
      </c>
      <c r="C202">
        <v>65</v>
      </c>
      <c r="D202" t="s">
        <v>11</v>
      </c>
      <c r="E202" t="s">
        <v>363</v>
      </c>
      <c r="F202" t="s">
        <v>364</v>
      </c>
      <c r="G202">
        <v>678000</v>
      </c>
      <c r="I202" t="s">
        <v>14</v>
      </c>
    </row>
    <row r="203" spans="1:9">
      <c r="A203" t="s">
        <v>9</v>
      </c>
      <c r="B203" t="s">
        <v>10</v>
      </c>
      <c r="C203">
        <v>65</v>
      </c>
      <c r="D203" t="s">
        <v>11</v>
      </c>
      <c r="E203" t="s">
        <v>365</v>
      </c>
      <c r="F203" t="s">
        <v>366</v>
      </c>
      <c r="G203">
        <v>199000</v>
      </c>
      <c r="I203" t="s">
        <v>14</v>
      </c>
    </row>
    <row r="204" spans="1:9">
      <c r="A204" t="s">
        <v>9</v>
      </c>
      <c r="B204" t="s">
        <v>10</v>
      </c>
      <c r="C204">
        <v>65</v>
      </c>
      <c r="D204" t="s">
        <v>11</v>
      </c>
      <c r="E204" t="s">
        <v>367</v>
      </c>
      <c r="F204" t="s">
        <v>368</v>
      </c>
      <c r="G204">
        <v>26600</v>
      </c>
      <c r="I204" t="s">
        <v>14</v>
      </c>
    </row>
    <row r="205" spans="1:9">
      <c r="A205" t="s">
        <v>9</v>
      </c>
      <c r="B205" t="s">
        <v>10</v>
      </c>
      <c r="C205">
        <v>65</v>
      </c>
      <c r="D205" t="s">
        <v>11</v>
      </c>
      <c r="E205" t="s">
        <v>369</v>
      </c>
      <c r="F205" t="s">
        <v>370</v>
      </c>
      <c r="G205">
        <v>8930</v>
      </c>
      <c r="I205" t="s">
        <v>14</v>
      </c>
    </row>
    <row r="206" spans="1:9">
      <c r="A206" t="s">
        <v>9</v>
      </c>
      <c r="B206" t="s">
        <v>10</v>
      </c>
      <c r="C206">
        <v>65</v>
      </c>
      <c r="D206" t="s">
        <v>11</v>
      </c>
      <c r="E206" t="s">
        <v>371</v>
      </c>
      <c r="F206" t="s">
        <v>372</v>
      </c>
      <c r="G206">
        <v>4470</v>
      </c>
      <c r="I206" t="s">
        <v>14</v>
      </c>
    </row>
    <row r="207" spans="1:9">
      <c r="A207" t="s">
        <v>9</v>
      </c>
      <c r="B207" t="s">
        <v>10</v>
      </c>
      <c r="C207">
        <v>65</v>
      </c>
      <c r="D207" t="s">
        <v>11</v>
      </c>
      <c r="E207" t="s">
        <v>373</v>
      </c>
      <c r="F207" t="s">
        <v>374</v>
      </c>
      <c r="G207">
        <v>5910</v>
      </c>
      <c r="I207" t="s">
        <v>14</v>
      </c>
    </row>
    <row r="208" spans="1:9">
      <c r="A208" t="s">
        <v>9</v>
      </c>
      <c r="B208" t="s">
        <v>10</v>
      </c>
      <c r="C208">
        <v>65</v>
      </c>
      <c r="D208" t="s">
        <v>11</v>
      </c>
      <c r="E208" t="s">
        <v>375</v>
      </c>
      <c r="F208" t="s">
        <v>376</v>
      </c>
      <c r="G208">
        <v>11100</v>
      </c>
      <c r="I208" t="s">
        <v>14</v>
      </c>
    </row>
    <row r="209" spans="1:9">
      <c r="A209" t="s">
        <v>9</v>
      </c>
      <c r="B209" t="s">
        <v>10</v>
      </c>
      <c r="C209">
        <v>65</v>
      </c>
      <c r="D209" t="s">
        <v>11</v>
      </c>
      <c r="E209" t="s">
        <v>377</v>
      </c>
      <c r="F209" t="s">
        <v>378</v>
      </c>
      <c r="G209">
        <v>12200</v>
      </c>
      <c r="I209" t="s">
        <v>14</v>
      </c>
    </row>
    <row r="210" spans="1:9">
      <c r="A210" t="s">
        <v>9</v>
      </c>
      <c r="B210" t="s">
        <v>10</v>
      </c>
      <c r="C210">
        <v>65</v>
      </c>
      <c r="D210" t="s">
        <v>11</v>
      </c>
      <c r="E210" t="s">
        <v>379</v>
      </c>
      <c r="F210" t="s">
        <v>380</v>
      </c>
      <c r="G210">
        <v>54570</v>
      </c>
      <c r="I210" t="s">
        <v>14</v>
      </c>
    </row>
    <row r="211" spans="1:9">
      <c r="A211" t="s">
        <v>9</v>
      </c>
      <c r="B211" t="s">
        <v>10</v>
      </c>
      <c r="C211">
        <v>65</v>
      </c>
      <c r="D211" t="s">
        <v>11</v>
      </c>
      <c r="E211" t="s">
        <v>381</v>
      </c>
      <c r="F211" t="s">
        <v>382</v>
      </c>
      <c r="G211">
        <v>267020</v>
      </c>
      <c r="I211" t="s">
        <v>14</v>
      </c>
    </row>
    <row r="212" spans="1:9">
      <c r="A212" t="s">
        <v>9</v>
      </c>
      <c r="B212" t="s">
        <v>10</v>
      </c>
      <c r="C212">
        <v>65</v>
      </c>
      <c r="D212" t="s">
        <v>11</v>
      </c>
      <c r="E212" t="s">
        <v>383</v>
      </c>
      <c r="F212" t="s">
        <v>384</v>
      </c>
      <c r="G212">
        <v>280390</v>
      </c>
      <c r="I212" t="s">
        <v>14</v>
      </c>
    </row>
    <row r="213" spans="1:9">
      <c r="A213" t="s">
        <v>9</v>
      </c>
      <c r="B213" t="s">
        <v>10</v>
      </c>
      <c r="C213">
        <v>65</v>
      </c>
      <c r="D213" t="s">
        <v>11</v>
      </c>
      <c r="E213" t="s">
        <v>385</v>
      </c>
      <c r="F213" t="s">
        <v>386</v>
      </c>
      <c r="G213">
        <v>347280</v>
      </c>
      <c r="I213" t="s">
        <v>14</v>
      </c>
    </row>
    <row r="214" spans="1:9">
      <c r="A214" t="s">
        <v>9</v>
      </c>
      <c r="B214" t="s">
        <v>10</v>
      </c>
      <c r="C214">
        <v>65</v>
      </c>
      <c r="D214" t="s">
        <v>11</v>
      </c>
      <c r="E214" t="s">
        <v>387</v>
      </c>
      <c r="F214" t="s">
        <v>388</v>
      </c>
      <c r="G214">
        <v>415320</v>
      </c>
      <c r="I214" t="s">
        <v>14</v>
      </c>
    </row>
    <row r="215" spans="1:9">
      <c r="A215" t="s">
        <v>9</v>
      </c>
      <c r="B215" t="s">
        <v>10</v>
      </c>
      <c r="C215">
        <v>65</v>
      </c>
      <c r="D215" t="s">
        <v>11</v>
      </c>
      <c r="E215" t="s">
        <v>389</v>
      </c>
      <c r="F215" t="s">
        <v>390</v>
      </c>
      <c r="G215">
        <v>42200</v>
      </c>
      <c r="I215" t="s">
        <v>14</v>
      </c>
    </row>
    <row r="216" spans="1:9">
      <c r="A216" t="s">
        <v>9</v>
      </c>
      <c r="B216" t="s">
        <v>10</v>
      </c>
      <c r="C216">
        <v>65</v>
      </c>
      <c r="D216" t="s">
        <v>11</v>
      </c>
      <c r="E216" t="s">
        <v>391</v>
      </c>
      <c r="F216" t="s">
        <v>392</v>
      </c>
      <c r="G216">
        <v>8020</v>
      </c>
      <c r="I216" t="s">
        <v>14</v>
      </c>
    </row>
    <row r="217" spans="1:9">
      <c r="A217" t="s">
        <v>9</v>
      </c>
      <c r="B217" t="s">
        <v>10</v>
      </c>
      <c r="C217">
        <v>65</v>
      </c>
      <c r="D217" t="s">
        <v>11</v>
      </c>
      <c r="E217" t="s">
        <v>393</v>
      </c>
      <c r="F217" t="s">
        <v>394</v>
      </c>
      <c r="G217">
        <v>13110</v>
      </c>
      <c r="I217" t="s">
        <v>14</v>
      </c>
    </row>
    <row r="218" spans="1:9">
      <c r="A218" t="s">
        <v>9</v>
      </c>
      <c r="B218" t="s">
        <v>10</v>
      </c>
      <c r="C218">
        <v>65</v>
      </c>
      <c r="D218" t="s">
        <v>11</v>
      </c>
      <c r="E218" t="s">
        <v>395</v>
      </c>
      <c r="F218" t="s">
        <v>396</v>
      </c>
      <c r="G218">
        <v>52230</v>
      </c>
      <c r="I218" t="s">
        <v>14</v>
      </c>
    </row>
    <row r="219" spans="1:9">
      <c r="A219" t="s">
        <v>9</v>
      </c>
      <c r="B219" t="s">
        <v>10</v>
      </c>
      <c r="C219">
        <v>65</v>
      </c>
      <c r="D219" t="s">
        <v>11</v>
      </c>
      <c r="E219" t="s">
        <v>397</v>
      </c>
      <c r="F219" t="s">
        <v>398</v>
      </c>
      <c r="G219">
        <v>34170</v>
      </c>
      <c r="I219" t="s">
        <v>14</v>
      </c>
    </row>
    <row r="220" spans="1:9">
      <c r="A220" t="s">
        <v>9</v>
      </c>
      <c r="B220" t="s">
        <v>10</v>
      </c>
      <c r="C220">
        <v>65</v>
      </c>
      <c r="D220" t="s">
        <v>11</v>
      </c>
      <c r="E220" t="s">
        <v>399</v>
      </c>
      <c r="F220" t="s">
        <v>400</v>
      </c>
      <c r="G220">
        <v>32710</v>
      </c>
      <c r="I220" t="s">
        <v>14</v>
      </c>
    </row>
    <row r="221" spans="1:9">
      <c r="A221" t="s">
        <v>9</v>
      </c>
      <c r="B221" t="s">
        <v>10</v>
      </c>
      <c r="C221">
        <v>65</v>
      </c>
      <c r="D221" t="s">
        <v>11</v>
      </c>
      <c r="E221" t="s">
        <v>401</v>
      </c>
      <c r="F221" t="s">
        <v>402</v>
      </c>
      <c r="G221">
        <v>20430</v>
      </c>
      <c r="I221" t="s">
        <v>14</v>
      </c>
    </row>
    <row r="222" spans="1:9">
      <c r="A222" t="s">
        <v>9</v>
      </c>
      <c r="B222" t="s">
        <v>10</v>
      </c>
      <c r="C222">
        <v>65</v>
      </c>
      <c r="D222" t="s">
        <v>11</v>
      </c>
      <c r="E222" t="s">
        <v>403</v>
      </c>
      <c r="F222" t="s">
        <v>404</v>
      </c>
      <c r="G222">
        <v>77990</v>
      </c>
      <c r="I222" t="s">
        <v>14</v>
      </c>
    </row>
    <row r="223" spans="1:9">
      <c r="A223" t="s">
        <v>9</v>
      </c>
      <c r="B223" t="s">
        <v>10</v>
      </c>
      <c r="C223">
        <v>65</v>
      </c>
      <c r="D223" t="s">
        <v>11</v>
      </c>
      <c r="E223" t="s">
        <v>405</v>
      </c>
      <c r="F223" t="s">
        <v>406</v>
      </c>
      <c r="G223">
        <v>117890</v>
      </c>
      <c r="I223" t="s">
        <v>14</v>
      </c>
    </row>
    <row r="224" spans="1:9">
      <c r="A224" t="s">
        <v>9</v>
      </c>
      <c r="B224" t="s">
        <v>10</v>
      </c>
      <c r="C224">
        <v>65</v>
      </c>
      <c r="D224" t="s">
        <v>11</v>
      </c>
      <c r="E224" t="s">
        <v>407</v>
      </c>
      <c r="F224" t="s">
        <v>408</v>
      </c>
      <c r="G224">
        <v>268610</v>
      </c>
      <c r="I224" t="s">
        <v>14</v>
      </c>
    </row>
    <row r="225" spans="1:9">
      <c r="A225" t="s">
        <v>9</v>
      </c>
      <c r="B225" t="s">
        <v>10</v>
      </c>
      <c r="C225">
        <v>65</v>
      </c>
      <c r="D225" t="s">
        <v>11</v>
      </c>
      <c r="E225" t="s">
        <v>409</v>
      </c>
      <c r="F225" t="s">
        <v>410</v>
      </c>
      <c r="G225">
        <v>563190</v>
      </c>
      <c r="I225" t="s">
        <v>14</v>
      </c>
    </row>
    <row r="226" spans="1:9">
      <c r="A226" t="s">
        <v>9</v>
      </c>
      <c r="B226" t="s">
        <v>10</v>
      </c>
      <c r="C226">
        <v>65</v>
      </c>
      <c r="D226" t="s">
        <v>11</v>
      </c>
      <c r="E226" t="s">
        <v>411</v>
      </c>
      <c r="F226" t="s">
        <v>412</v>
      </c>
      <c r="G226">
        <v>143950</v>
      </c>
      <c r="I226" t="s">
        <v>14</v>
      </c>
    </row>
    <row r="227" spans="1:9">
      <c r="A227" t="s">
        <v>9</v>
      </c>
      <c r="B227" t="s">
        <v>10</v>
      </c>
      <c r="C227">
        <v>65</v>
      </c>
      <c r="D227" t="s">
        <v>11</v>
      </c>
      <c r="E227" t="s">
        <v>413</v>
      </c>
      <c r="F227" t="s">
        <v>414</v>
      </c>
      <c r="G227">
        <v>24950</v>
      </c>
      <c r="I227" t="s">
        <v>14</v>
      </c>
    </row>
    <row r="228" spans="1:9">
      <c r="A228" t="s">
        <v>9</v>
      </c>
      <c r="B228" t="s">
        <v>10</v>
      </c>
      <c r="C228">
        <v>65</v>
      </c>
      <c r="D228" t="s">
        <v>11</v>
      </c>
      <c r="E228" t="s">
        <v>415</v>
      </c>
      <c r="F228" t="s">
        <v>416</v>
      </c>
      <c r="G228">
        <v>7100</v>
      </c>
      <c r="I228" t="s">
        <v>14</v>
      </c>
    </row>
    <row r="229" spans="1:9">
      <c r="A229" t="s">
        <v>9</v>
      </c>
      <c r="B229" t="s">
        <v>10</v>
      </c>
      <c r="C229">
        <v>65</v>
      </c>
      <c r="D229" t="s">
        <v>11</v>
      </c>
      <c r="E229" t="s">
        <v>417</v>
      </c>
      <c r="F229" t="s">
        <v>418</v>
      </c>
      <c r="G229">
        <v>3960</v>
      </c>
      <c r="I229" t="s">
        <v>14</v>
      </c>
    </row>
    <row r="230" spans="1:9">
      <c r="A230" t="s">
        <v>9</v>
      </c>
      <c r="B230" t="s">
        <v>10</v>
      </c>
      <c r="C230">
        <v>65</v>
      </c>
      <c r="D230" t="s">
        <v>11</v>
      </c>
      <c r="E230" t="s">
        <v>419</v>
      </c>
      <c r="F230" t="s">
        <v>420</v>
      </c>
      <c r="G230">
        <v>5860</v>
      </c>
      <c r="I230" t="s">
        <v>14</v>
      </c>
    </row>
    <row r="231" spans="1:9">
      <c r="A231" t="s">
        <v>9</v>
      </c>
      <c r="B231" t="s">
        <v>10</v>
      </c>
      <c r="C231">
        <v>65</v>
      </c>
      <c r="D231" t="s">
        <v>11</v>
      </c>
      <c r="E231" t="s">
        <v>421</v>
      </c>
      <c r="F231" t="s">
        <v>422</v>
      </c>
      <c r="G231">
        <v>4190</v>
      </c>
      <c r="I231" t="s">
        <v>14</v>
      </c>
    </row>
    <row r="232" spans="1:9">
      <c r="A232" t="s">
        <v>9</v>
      </c>
      <c r="B232" t="s">
        <v>10</v>
      </c>
      <c r="C232">
        <v>65</v>
      </c>
      <c r="D232" t="s">
        <v>11</v>
      </c>
      <c r="E232" t="s">
        <v>423</v>
      </c>
      <c r="F232" t="s">
        <v>424</v>
      </c>
      <c r="G232">
        <v>24730</v>
      </c>
      <c r="I232" t="s">
        <v>14</v>
      </c>
    </row>
    <row r="233" spans="1:9">
      <c r="A233" t="s">
        <v>9</v>
      </c>
      <c r="B233" t="s">
        <v>10</v>
      </c>
      <c r="C233">
        <v>65</v>
      </c>
      <c r="D233" t="s">
        <v>11</v>
      </c>
      <c r="E233" t="s">
        <v>425</v>
      </c>
      <c r="F233" t="s">
        <v>426</v>
      </c>
      <c r="G233">
        <v>24790</v>
      </c>
      <c r="I233" t="s">
        <v>14</v>
      </c>
    </row>
    <row r="234" spans="1:9">
      <c r="A234" t="s">
        <v>9</v>
      </c>
      <c r="B234" t="s">
        <v>10</v>
      </c>
      <c r="C234">
        <v>65</v>
      </c>
      <c r="D234" t="s">
        <v>11</v>
      </c>
      <c r="E234" t="s">
        <v>427</v>
      </c>
      <c r="F234" t="s">
        <v>428</v>
      </c>
      <c r="G234">
        <v>29030</v>
      </c>
      <c r="I234" t="s">
        <v>14</v>
      </c>
    </row>
    <row r="235" spans="1:9">
      <c r="A235" t="s">
        <v>9</v>
      </c>
      <c r="B235" t="s">
        <v>10</v>
      </c>
      <c r="C235">
        <v>65</v>
      </c>
      <c r="D235" t="s">
        <v>11</v>
      </c>
      <c r="E235" t="s">
        <v>429</v>
      </c>
      <c r="F235" t="s">
        <v>430</v>
      </c>
      <c r="G235">
        <v>161640</v>
      </c>
      <c r="I235" t="s">
        <v>14</v>
      </c>
    </row>
    <row r="236" spans="1:9">
      <c r="A236" t="s">
        <v>9</v>
      </c>
      <c r="B236" t="s">
        <v>10</v>
      </c>
      <c r="C236">
        <v>65</v>
      </c>
      <c r="D236" t="s">
        <v>11</v>
      </c>
      <c r="E236" t="s">
        <v>431</v>
      </c>
      <c r="F236" t="s">
        <v>432</v>
      </c>
      <c r="G236">
        <v>231040</v>
      </c>
      <c r="I236" t="s">
        <v>14</v>
      </c>
    </row>
    <row r="237" spans="1:9">
      <c r="A237" t="s">
        <v>9</v>
      </c>
      <c r="B237" t="s">
        <v>10</v>
      </c>
      <c r="C237">
        <v>65</v>
      </c>
      <c r="D237" t="s">
        <v>11</v>
      </c>
      <c r="E237" t="s">
        <v>433</v>
      </c>
      <c r="F237" t="s">
        <v>434</v>
      </c>
      <c r="G237">
        <v>478570</v>
      </c>
      <c r="I237" t="s">
        <v>14</v>
      </c>
    </row>
    <row r="238" spans="1:9">
      <c r="A238" t="s">
        <v>9</v>
      </c>
      <c r="B238" t="s">
        <v>10</v>
      </c>
      <c r="C238">
        <v>65</v>
      </c>
      <c r="D238" t="s">
        <v>11</v>
      </c>
      <c r="E238" t="s">
        <v>435</v>
      </c>
      <c r="F238" t="s">
        <v>436</v>
      </c>
      <c r="G238">
        <v>315070</v>
      </c>
      <c r="I238" t="s">
        <v>14</v>
      </c>
    </row>
    <row r="239" spans="1:9">
      <c r="A239" t="s">
        <v>9</v>
      </c>
      <c r="B239" t="s">
        <v>10</v>
      </c>
      <c r="C239">
        <v>65</v>
      </c>
      <c r="D239" t="s">
        <v>11</v>
      </c>
      <c r="E239" t="s">
        <v>437</v>
      </c>
      <c r="F239" t="s">
        <v>438</v>
      </c>
      <c r="G239">
        <v>48310</v>
      </c>
      <c r="I239" t="s">
        <v>14</v>
      </c>
    </row>
    <row r="240" spans="1:9">
      <c r="A240" t="s">
        <v>9</v>
      </c>
      <c r="B240" t="s">
        <v>10</v>
      </c>
      <c r="C240">
        <v>65</v>
      </c>
      <c r="D240" t="s">
        <v>11</v>
      </c>
      <c r="E240" t="s">
        <v>439</v>
      </c>
      <c r="F240" t="s">
        <v>440</v>
      </c>
      <c r="G240">
        <v>12450</v>
      </c>
      <c r="I240" t="s">
        <v>14</v>
      </c>
    </row>
    <row r="241" spans="1:9">
      <c r="A241" t="s">
        <v>9</v>
      </c>
      <c r="B241" t="s">
        <v>10</v>
      </c>
      <c r="C241">
        <v>65</v>
      </c>
      <c r="D241" t="s">
        <v>11</v>
      </c>
      <c r="E241" t="s">
        <v>441</v>
      </c>
      <c r="F241" t="s">
        <v>442</v>
      </c>
      <c r="G241">
        <v>6630</v>
      </c>
      <c r="I241" t="s">
        <v>14</v>
      </c>
    </row>
    <row r="242" spans="1:9">
      <c r="A242" t="s">
        <v>9</v>
      </c>
      <c r="B242" t="s">
        <v>10</v>
      </c>
      <c r="C242">
        <v>65</v>
      </c>
      <c r="D242" t="s">
        <v>11</v>
      </c>
      <c r="E242" t="s">
        <v>443</v>
      </c>
      <c r="F242" t="s">
        <v>444</v>
      </c>
      <c r="G242">
        <v>41080</v>
      </c>
      <c r="I242" t="s">
        <v>14</v>
      </c>
    </row>
    <row r="243" spans="1:9">
      <c r="A243" t="s">
        <v>9</v>
      </c>
      <c r="B243" t="s">
        <v>10</v>
      </c>
      <c r="C243">
        <v>65</v>
      </c>
      <c r="D243" t="s">
        <v>11</v>
      </c>
      <c r="E243" t="s">
        <v>445</v>
      </c>
      <c r="F243" t="s">
        <v>446</v>
      </c>
      <c r="G243">
        <v>53300</v>
      </c>
      <c r="I243" t="s">
        <v>14</v>
      </c>
    </row>
    <row r="244" spans="1:9">
      <c r="A244" t="s">
        <v>9</v>
      </c>
      <c r="B244" t="s">
        <v>10</v>
      </c>
      <c r="C244">
        <v>65</v>
      </c>
      <c r="D244" t="s">
        <v>11</v>
      </c>
      <c r="E244" t="s">
        <v>447</v>
      </c>
      <c r="F244" t="s">
        <v>448</v>
      </c>
      <c r="G244">
        <v>69550</v>
      </c>
      <c r="I244" t="s">
        <v>14</v>
      </c>
    </row>
    <row r="245" spans="1:9">
      <c r="A245" t="s">
        <v>9</v>
      </c>
      <c r="B245" t="s">
        <v>10</v>
      </c>
      <c r="C245">
        <v>65</v>
      </c>
      <c r="D245" t="s">
        <v>11</v>
      </c>
      <c r="E245" t="s">
        <v>449</v>
      </c>
      <c r="F245" t="s">
        <v>450</v>
      </c>
      <c r="G245">
        <v>196200</v>
      </c>
      <c r="I245" t="s">
        <v>14</v>
      </c>
    </row>
    <row r="246" spans="1:9">
      <c r="A246" t="s">
        <v>9</v>
      </c>
      <c r="B246" t="s">
        <v>10</v>
      </c>
      <c r="C246">
        <v>65</v>
      </c>
      <c r="D246" t="s">
        <v>11</v>
      </c>
      <c r="E246" t="s">
        <v>451</v>
      </c>
      <c r="F246" t="s">
        <v>452</v>
      </c>
      <c r="G246">
        <v>155940</v>
      </c>
      <c r="I246" t="s">
        <v>14</v>
      </c>
    </row>
    <row r="247" spans="1:9">
      <c r="A247" t="s">
        <v>9</v>
      </c>
      <c r="B247" t="s">
        <v>10</v>
      </c>
      <c r="C247">
        <v>65</v>
      </c>
      <c r="D247" t="s">
        <v>11</v>
      </c>
      <c r="E247" t="s">
        <v>453</v>
      </c>
      <c r="F247" t="s">
        <v>454</v>
      </c>
      <c r="G247">
        <v>231770</v>
      </c>
      <c r="I247" t="s">
        <v>14</v>
      </c>
    </row>
    <row r="248" spans="1:9">
      <c r="A248" t="s">
        <v>9</v>
      </c>
      <c r="B248" t="s">
        <v>10</v>
      </c>
      <c r="C248">
        <v>65</v>
      </c>
      <c r="D248" t="s">
        <v>11</v>
      </c>
      <c r="E248" t="s">
        <v>455</v>
      </c>
      <c r="F248" t="s">
        <v>456</v>
      </c>
      <c r="G248">
        <v>254350</v>
      </c>
      <c r="I248" t="s">
        <v>14</v>
      </c>
    </row>
    <row r="249" spans="1:9">
      <c r="A249" t="s">
        <v>9</v>
      </c>
      <c r="B249" t="s">
        <v>10</v>
      </c>
      <c r="C249">
        <v>65</v>
      </c>
      <c r="D249" t="s">
        <v>11</v>
      </c>
      <c r="E249" t="s">
        <v>457</v>
      </c>
      <c r="F249" t="s">
        <v>458</v>
      </c>
      <c r="G249">
        <v>442190</v>
      </c>
      <c r="I249" t="s">
        <v>14</v>
      </c>
    </row>
    <row r="250" spans="1:9">
      <c r="A250" t="s">
        <v>9</v>
      </c>
      <c r="B250" t="s">
        <v>10</v>
      </c>
      <c r="C250">
        <v>65</v>
      </c>
      <c r="D250" t="s">
        <v>11</v>
      </c>
      <c r="E250" t="s">
        <v>459</v>
      </c>
      <c r="F250" t="s">
        <v>460</v>
      </c>
      <c r="G250">
        <v>458320</v>
      </c>
      <c r="I250" t="s">
        <v>14</v>
      </c>
    </row>
    <row r="251" spans="1:9">
      <c r="A251" t="s">
        <v>9</v>
      </c>
      <c r="B251" t="s">
        <v>10</v>
      </c>
      <c r="C251">
        <v>65</v>
      </c>
      <c r="D251" t="s">
        <v>11</v>
      </c>
      <c r="E251" t="s">
        <v>461</v>
      </c>
      <c r="F251" t="s">
        <v>462</v>
      </c>
      <c r="G251">
        <v>95170</v>
      </c>
      <c r="I251" t="s">
        <v>14</v>
      </c>
    </row>
    <row r="252" spans="1:9">
      <c r="A252" t="s">
        <v>9</v>
      </c>
      <c r="B252" t="s">
        <v>10</v>
      </c>
      <c r="C252">
        <v>65</v>
      </c>
      <c r="D252" t="s">
        <v>11</v>
      </c>
      <c r="E252" t="s">
        <v>463</v>
      </c>
      <c r="F252" t="s">
        <v>464</v>
      </c>
      <c r="G252">
        <v>13500</v>
      </c>
      <c r="I252" t="s">
        <v>14</v>
      </c>
    </row>
    <row r="253" spans="1:9">
      <c r="A253" t="s">
        <v>9</v>
      </c>
      <c r="B253" t="s">
        <v>10</v>
      </c>
      <c r="C253">
        <v>65</v>
      </c>
      <c r="D253" t="s">
        <v>11</v>
      </c>
      <c r="E253" t="s">
        <v>465</v>
      </c>
      <c r="F253" t="s">
        <v>466</v>
      </c>
      <c r="G253">
        <v>6560</v>
      </c>
      <c r="I253" t="s">
        <v>14</v>
      </c>
    </row>
    <row r="254" spans="1:9">
      <c r="A254" t="s">
        <v>9</v>
      </c>
      <c r="B254" t="s">
        <v>10</v>
      </c>
      <c r="C254">
        <v>65</v>
      </c>
      <c r="D254" t="s">
        <v>11</v>
      </c>
      <c r="E254" t="s">
        <v>467</v>
      </c>
      <c r="F254" t="s">
        <v>468</v>
      </c>
      <c r="G254">
        <v>5800</v>
      </c>
      <c r="I254" t="s">
        <v>14</v>
      </c>
    </row>
    <row r="255" spans="1:9">
      <c r="A255" t="s">
        <v>9</v>
      </c>
      <c r="B255" t="s">
        <v>10</v>
      </c>
      <c r="C255">
        <v>65</v>
      </c>
      <c r="D255" t="s">
        <v>11</v>
      </c>
      <c r="E255" t="s">
        <v>469</v>
      </c>
      <c r="F255" t="s">
        <v>470</v>
      </c>
      <c r="G255">
        <v>6080</v>
      </c>
      <c r="I255" t="s">
        <v>14</v>
      </c>
    </row>
    <row r="256" spans="1:9">
      <c r="A256" t="s">
        <v>9</v>
      </c>
      <c r="B256" t="s">
        <v>10</v>
      </c>
      <c r="C256">
        <v>65</v>
      </c>
      <c r="D256" t="s">
        <v>11</v>
      </c>
      <c r="E256" t="s">
        <v>471</v>
      </c>
      <c r="F256" t="s">
        <v>472</v>
      </c>
      <c r="G256">
        <v>54600</v>
      </c>
      <c r="I256" t="s">
        <v>14</v>
      </c>
    </row>
    <row r="257" spans="1:9">
      <c r="A257" t="s">
        <v>9</v>
      </c>
      <c r="B257" t="s">
        <v>10</v>
      </c>
      <c r="C257">
        <v>65</v>
      </c>
      <c r="D257" t="s">
        <v>11</v>
      </c>
      <c r="E257" t="s">
        <v>473</v>
      </c>
      <c r="F257" t="s">
        <v>474</v>
      </c>
      <c r="G257">
        <v>71720</v>
      </c>
      <c r="I257" t="s">
        <v>14</v>
      </c>
    </row>
    <row r="258" spans="1:9">
      <c r="A258" t="s">
        <v>9</v>
      </c>
      <c r="B258" t="s">
        <v>10</v>
      </c>
      <c r="C258">
        <v>65</v>
      </c>
      <c r="D258" t="s">
        <v>11</v>
      </c>
      <c r="E258" t="s">
        <v>475</v>
      </c>
      <c r="F258" t="s">
        <v>476</v>
      </c>
      <c r="G258">
        <v>189460</v>
      </c>
      <c r="I258" t="s">
        <v>14</v>
      </c>
    </row>
    <row r="259" spans="1:9">
      <c r="A259" t="s">
        <v>9</v>
      </c>
      <c r="B259" t="s">
        <v>10</v>
      </c>
      <c r="C259">
        <v>65</v>
      </c>
      <c r="D259" t="s">
        <v>11</v>
      </c>
      <c r="E259" t="s">
        <v>477</v>
      </c>
      <c r="F259" t="s">
        <v>478</v>
      </c>
      <c r="G259">
        <v>181280</v>
      </c>
      <c r="I259" t="s">
        <v>14</v>
      </c>
    </row>
    <row r="260" spans="1:9">
      <c r="A260" t="s">
        <v>9</v>
      </c>
      <c r="B260" t="s">
        <v>10</v>
      </c>
      <c r="C260">
        <v>65</v>
      </c>
      <c r="D260" t="s">
        <v>11</v>
      </c>
      <c r="E260" t="s">
        <v>479</v>
      </c>
      <c r="F260" t="s">
        <v>480</v>
      </c>
      <c r="G260">
        <v>260350</v>
      </c>
      <c r="I260" t="s">
        <v>14</v>
      </c>
    </row>
    <row r="261" spans="1:9">
      <c r="A261" t="s">
        <v>9</v>
      </c>
      <c r="B261" t="s">
        <v>10</v>
      </c>
      <c r="C261">
        <v>65</v>
      </c>
      <c r="D261" t="s">
        <v>11</v>
      </c>
      <c r="E261" t="s">
        <v>481</v>
      </c>
      <c r="F261" t="s">
        <v>482</v>
      </c>
      <c r="G261">
        <v>717530</v>
      </c>
      <c r="I261" t="s">
        <v>14</v>
      </c>
    </row>
    <row r="262" spans="1:9">
      <c r="A262" t="s">
        <v>9</v>
      </c>
      <c r="B262" t="s">
        <v>10</v>
      </c>
      <c r="C262">
        <v>65</v>
      </c>
      <c r="D262" t="s">
        <v>11</v>
      </c>
      <c r="E262" t="s">
        <v>483</v>
      </c>
      <c r="F262" t="s">
        <v>484</v>
      </c>
      <c r="G262">
        <v>751930</v>
      </c>
      <c r="I262" t="s">
        <v>14</v>
      </c>
    </row>
    <row r="263" spans="1:9">
      <c r="A263" t="s">
        <v>9</v>
      </c>
      <c r="B263" t="s">
        <v>10</v>
      </c>
      <c r="C263">
        <v>65</v>
      </c>
      <c r="D263" t="s">
        <v>11</v>
      </c>
      <c r="E263" t="s">
        <v>485</v>
      </c>
      <c r="F263" t="s">
        <v>486</v>
      </c>
      <c r="G263">
        <v>194560</v>
      </c>
      <c r="I263" t="s">
        <v>14</v>
      </c>
    </row>
    <row r="264" spans="1:9">
      <c r="A264" t="s">
        <v>9</v>
      </c>
      <c r="B264" t="s">
        <v>10</v>
      </c>
      <c r="C264">
        <v>65</v>
      </c>
      <c r="D264" t="s">
        <v>11</v>
      </c>
      <c r="E264" t="s">
        <v>487</v>
      </c>
      <c r="F264" t="s">
        <v>488</v>
      </c>
      <c r="G264">
        <v>27220</v>
      </c>
      <c r="I264" t="s">
        <v>14</v>
      </c>
    </row>
    <row r="265" spans="1:9">
      <c r="A265" t="s">
        <v>9</v>
      </c>
      <c r="B265" t="s">
        <v>10</v>
      </c>
      <c r="C265">
        <v>65</v>
      </c>
      <c r="D265" t="s">
        <v>11</v>
      </c>
      <c r="E265" t="s">
        <v>489</v>
      </c>
      <c r="F265" t="s">
        <v>490</v>
      </c>
      <c r="G265">
        <v>10390</v>
      </c>
      <c r="I265" t="s">
        <v>14</v>
      </c>
    </row>
    <row r="266" spans="1:9">
      <c r="A266" t="s">
        <v>9</v>
      </c>
      <c r="B266" t="s">
        <v>10</v>
      </c>
      <c r="C266">
        <v>65</v>
      </c>
      <c r="D266" t="s">
        <v>11</v>
      </c>
      <c r="E266" t="s">
        <v>491</v>
      </c>
      <c r="F266" t="s">
        <v>492</v>
      </c>
      <c r="G266">
        <v>10600</v>
      </c>
      <c r="I266" t="s">
        <v>14</v>
      </c>
    </row>
    <row r="267" spans="1:9">
      <c r="A267" t="s">
        <v>9</v>
      </c>
      <c r="B267" t="s">
        <v>10</v>
      </c>
      <c r="C267">
        <v>65</v>
      </c>
      <c r="D267" t="s">
        <v>11</v>
      </c>
      <c r="E267" t="s">
        <v>493</v>
      </c>
      <c r="F267" t="s">
        <v>494</v>
      </c>
      <c r="G267">
        <v>31610</v>
      </c>
      <c r="I267" t="s">
        <v>14</v>
      </c>
    </row>
    <row r="268" spans="1:9">
      <c r="A268" t="s">
        <v>9</v>
      </c>
      <c r="B268" t="s">
        <v>10</v>
      </c>
      <c r="C268">
        <v>65</v>
      </c>
      <c r="D268" t="s">
        <v>11</v>
      </c>
      <c r="E268" t="s">
        <v>495</v>
      </c>
      <c r="F268" t="s">
        <v>496</v>
      </c>
      <c r="G268">
        <v>123930</v>
      </c>
      <c r="I268" t="s">
        <v>14</v>
      </c>
    </row>
    <row r="269" spans="1:9">
      <c r="A269" t="s">
        <v>9</v>
      </c>
      <c r="B269" t="s">
        <v>10</v>
      </c>
      <c r="C269">
        <v>65</v>
      </c>
      <c r="D269" t="s">
        <v>11</v>
      </c>
      <c r="E269" t="s">
        <v>497</v>
      </c>
      <c r="F269" t="s">
        <v>498</v>
      </c>
      <c r="G269">
        <v>113590</v>
      </c>
      <c r="I269" t="s">
        <v>14</v>
      </c>
    </row>
    <row r="270" spans="1:9">
      <c r="A270" t="s">
        <v>9</v>
      </c>
      <c r="B270" t="s">
        <v>10</v>
      </c>
      <c r="C270">
        <v>65</v>
      </c>
      <c r="D270" t="s">
        <v>11</v>
      </c>
      <c r="E270" t="s">
        <v>499</v>
      </c>
      <c r="F270" t="s">
        <v>500</v>
      </c>
      <c r="G270">
        <v>79520</v>
      </c>
      <c r="I270" t="s">
        <v>14</v>
      </c>
    </row>
    <row r="271" spans="1:9">
      <c r="A271" t="s">
        <v>9</v>
      </c>
      <c r="B271" t="s">
        <v>10</v>
      </c>
      <c r="C271">
        <v>65</v>
      </c>
      <c r="D271" t="s">
        <v>11</v>
      </c>
      <c r="E271" t="s">
        <v>501</v>
      </c>
      <c r="F271" t="s">
        <v>502</v>
      </c>
      <c r="G271">
        <v>113110</v>
      </c>
      <c r="I271" t="s">
        <v>14</v>
      </c>
    </row>
    <row r="272" spans="1:9">
      <c r="A272" t="s">
        <v>9</v>
      </c>
      <c r="B272" t="s">
        <v>10</v>
      </c>
      <c r="C272">
        <v>65</v>
      </c>
      <c r="D272" t="s">
        <v>11</v>
      </c>
      <c r="E272" t="s">
        <v>503</v>
      </c>
      <c r="F272" t="s">
        <v>504</v>
      </c>
      <c r="G272">
        <v>265740</v>
      </c>
      <c r="I272" t="s">
        <v>14</v>
      </c>
    </row>
    <row r="273" spans="1:9">
      <c r="A273" t="s">
        <v>9</v>
      </c>
      <c r="B273" t="s">
        <v>10</v>
      </c>
      <c r="C273">
        <v>65</v>
      </c>
      <c r="D273" t="s">
        <v>11</v>
      </c>
      <c r="E273" t="s">
        <v>505</v>
      </c>
      <c r="F273" t="s">
        <v>506</v>
      </c>
      <c r="G273">
        <v>521300</v>
      </c>
      <c r="I273" t="s">
        <v>14</v>
      </c>
    </row>
    <row r="274" spans="1:9">
      <c r="A274" t="s">
        <v>9</v>
      </c>
      <c r="B274" t="s">
        <v>10</v>
      </c>
      <c r="C274">
        <v>65</v>
      </c>
      <c r="D274" t="s">
        <v>11</v>
      </c>
      <c r="E274" t="s">
        <v>507</v>
      </c>
      <c r="F274" t="s">
        <v>508</v>
      </c>
      <c r="G274">
        <v>319130</v>
      </c>
      <c r="I274" t="s">
        <v>14</v>
      </c>
    </row>
    <row r="275" spans="1:9">
      <c r="A275" t="s">
        <v>9</v>
      </c>
      <c r="B275" t="s">
        <v>10</v>
      </c>
      <c r="C275">
        <v>65</v>
      </c>
      <c r="D275" t="s">
        <v>11</v>
      </c>
      <c r="E275" t="s">
        <v>509</v>
      </c>
      <c r="F275" t="s">
        <v>510</v>
      </c>
      <c r="G275">
        <v>157840</v>
      </c>
      <c r="I275" t="s">
        <v>14</v>
      </c>
    </row>
    <row r="276" spans="1:9">
      <c r="A276" t="s">
        <v>9</v>
      </c>
      <c r="B276" t="s">
        <v>10</v>
      </c>
      <c r="C276">
        <v>65</v>
      </c>
      <c r="D276" t="s">
        <v>11</v>
      </c>
      <c r="E276" t="s">
        <v>511</v>
      </c>
      <c r="F276" t="s">
        <v>512</v>
      </c>
      <c r="G276">
        <v>27340</v>
      </c>
      <c r="I276" t="s">
        <v>14</v>
      </c>
    </row>
    <row r="277" spans="1:9">
      <c r="A277" t="s">
        <v>9</v>
      </c>
      <c r="B277" t="s">
        <v>10</v>
      </c>
      <c r="C277">
        <v>65</v>
      </c>
      <c r="D277" t="s">
        <v>11</v>
      </c>
      <c r="E277" t="s">
        <v>513</v>
      </c>
      <c r="F277" t="s">
        <v>514</v>
      </c>
      <c r="G277">
        <v>22270</v>
      </c>
      <c r="I277" t="s">
        <v>14</v>
      </c>
    </row>
    <row r="278" spans="1:9">
      <c r="A278" t="s">
        <v>9</v>
      </c>
      <c r="B278" t="s">
        <v>10</v>
      </c>
      <c r="C278">
        <v>65</v>
      </c>
      <c r="D278" t="s">
        <v>11</v>
      </c>
      <c r="E278" t="s">
        <v>515</v>
      </c>
      <c r="F278" t="s">
        <v>516</v>
      </c>
      <c r="G278">
        <v>28510</v>
      </c>
      <c r="I278" t="s">
        <v>14</v>
      </c>
    </row>
    <row r="279" spans="1:9">
      <c r="A279" t="s">
        <v>9</v>
      </c>
      <c r="B279" t="s">
        <v>10</v>
      </c>
      <c r="C279">
        <v>65</v>
      </c>
      <c r="D279" t="s">
        <v>11</v>
      </c>
      <c r="E279" t="s">
        <v>517</v>
      </c>
      <c r="F279" t="s">
        <v>518</v>
      </c>
      <c r="G279">
        <v>13620</v>
      </c>
      <c r="I279" t="s">
        <v>14</v>
      </c>
    </row>
    <row r="280" spans="1:9">
      <c r="A280" t="s">
        <v>9</v>
      </c>
      <c r="B280" t="s">
        <v>10</v>
      </c>
      <c r="C280">
        <v>65</v>
      </c>
      <c r="D280" t="s">
        <v>11</v>
      </c>
      <c r="E280" t="s">
        <v>519</v>
      </c>
      <c r="F280" t="s">
        <v>520</v>
      </c>
      <c r="G280">
        <v>13760</v>
      </c>
      <c r="I280" t="s">
        <v>14</v>
      </c>
    </row>
    <row r="281" spans="1:9">
      <c r="A281" t="s">
        <v>9</v>
      </c>
      <c r="B281" t="s">
        <v>10</v>
      </c>
      <c r="C281">
        <v>65</v>
      </c>
      <c r="D281" t="s">
        <v>11</v>
      </c>
      <c r="E281" t="s">
        <v>521</v>
      </c>
      <c r="F281" t="s">
        <v>522</v>
      </c>
      <c r="G281">
        <v>25340</v>
      </c>
      <c r="I281" t="s">
        <v>14</v>
      </c>
    </row>
    <row r="282" spans="1:9">
      <c r="A282" t="s">
        <v>9</v>
      </c>
      <c r="B282" t="s">
        <v>10</v>
      </c>
      <c r="C282">
        <v>65</v>
      </c>
      <c r="D282" t="s">
        <v>11</v>
      </c>
      <c r="E282" t="s">
        <v>523</v>
      </c>
      <c r="F282" t="s">
        <v>524</v>
      </c>
      <c r="G282">
        <v>41620</v>
      </c>
      <c r="I282" t="s">
        <v>14</v>
      </c>
    </row>
    <row r="283" spans="1:9">
      <c r="A283" t="s">
        <v>9</v>
      </c>
      <c r="B283" t="s">
        <v>10</v>
      </c>
      <c r="C283">
        <v>65</v>
      </c>
      <c r="D283" t="s">
        <v>11</v>
      </c>
      <c r="E283" t="s">
        <v>525</v>
      </c>
      <c r="F283" t="s">
        <v>526</v>
      </c>
      <c r="G283">
        <v>37860</v>
      </c>
      <c r="I283" t="s">
        <v>14</v>
      </c>
    </row>
    <row r="284" spans="1:9">
      <c r="A284" t="s">
        <v>9</v>
      </c>
      <c r="B284" t="s">
        <v>10</v>
      </c>
      <c r="C284">
        <v>65</v>
      </c>
      <c r="D284" t="s">
        <v>11</v>
      </c>
      <c r="E284" t="s">
        <v>527</v>
      </c>
      <c r="F284" t="s">
        <v>528</v>
      </c>
      <c r="G284">
        <v>138860</v>
      </c>
      <c r="I284" t="s">
        <v>14</v>
      </c>
    </row>
    <row r="285" spans="1:9">
      <c r="A285" t="s">
        <v>9</v>
      </c>
      <c r="B285" t="s">
        <v>10</v>
      </c>
      <c r="C285">
        <v>65</v>
      </c>
      <c r="D285" t="s">
        <v>11</v>
      </c>
      <c r="E285" t="s">
        <v>529</v>
      </c>
      <c r="F285" t="s">
        <v>530</v>
      </c>
      <c r="G285">
        <v>209400</v>
      </c>
      <c r="I285" t="s">
        <v>14</v>
      </c>
    </row>
    <row r="286" spans="1:9">
      <c r="A286" t="s">
        <v>9</v>
      </c>
      <c r="B286" t="s">
        <v>10</v>
      </c>
      <c r="C286">
        <v>65</v>
      </c>
      <c r="D286" t="s">
        <v>11</v>
      </c>
      <c r="E286" t="s">
        <v>531</v>
      </c>
      <c r="F286" t="s">
        <v>532</v>
      </c>
      <c r="G286">
        <v>16850</v>
      </c>
      <c r="I286" t="s">
        <v>14</v>
      </c>
    </row>
    <row r="287" spans="1:9">
      <c r="A287" t="s">
        <v>9</v>
      </c>
      <c r="B287" t="s">
        <v>10</v>
      </c>
      <c r="C287">
        <v>65</v>
      </c>
      <c r="D287" t="s">
        <v>11</v>
      </c>
      <c r="E287" t="s">
        <v>533</v>
      </c>
      <c r="F287" t="s">
        <v>534</v>
      </c>
      <c r="G287">
        <v>16810</v>
      </c>
      <c r="I287" t="s">
        <v>14</v>
      </c>
    </row>
    <row r="288" spans="1:9">
      <c r="A288" t="s">
        <v>9</v>
      </c>
      <c r="B288" t="s">
        <v>10</v>
      </c>
      <c r="C288">
        <v>65</v>
      </c>
      <c r="D288" t="s">
        <v>11</v>
      </c>
      <c r="E288" t="s">
        <v>535</v>
      </c>
      <c r="F288" t="s">
        <v>536</v>
      </c>
      <c r="G288">
        <v>0</v>
      </c>
      <c r="I288" t="s">
        <v>14</v>
      </c>
    </row>
    <row r="289" spans="1:9">
      <c r="A289" t="s">
        <v>9</v>
      </c>
      <c r="B289" t="s">
        <v>10</v>
      </c>
      <c r="C289">
        <v>65</v>
      </c>
      <c r="D289" t="s">
        <v>11</v>
      </c>
      <c r="E289" t="s">
        <v>537</v>
      </c>
      <c r="F289" t="s">
        <v>538</v>
      </c>
      <c r="G289">
        <v>0</v>
      </c>
      <c r="I289" t="s">
        <v>14</v>
      </c>
    </row>
    <row r="290" spans="1:9">
      <c r="A290" t="s">
        <v>9</v>
      </c>
      <c r="B290" t="s">
        <v>10</v>
      </c>
      <c r="C290">
        <v>65</v>
      </c>
      <c r="D290" t="s">
        <v>11</v>
      </c>
      <c r="E290" t="s">
        <v>539</v>
      </c>
      <c r="F290" t="s">
        <v>540</v>
      </c>
      <c r="G290">
        <v>14660</v>
      </c>
      <c r="I290" t="s">
        <v>14</v>
      </c>
    </row>
    <row r="291" spans="1:9">
      <c r="A291" t="s">
        <v>9</v>
      </c>
      <c r="B291" t="s">
        <v>10</v>
      </c>
      <c r="C291">
        <v>65</v>
      </c>
      <c r="D291" t="s">
        <v>11</v>
      </c>
      <c r="E291" t="s">
        <v>541</v>
      </c>
      <c r="F291" t="s">
        <v>542</v>
      </c>
      <c r="G291">
        <v>47910</v>
      </c>
      <c r="I291" t="s">
        <v>14</v>
      </c>
    </row>
    <row r="292" spans="1:9">
      <c r="A292" t="s">
        <v>9</v>
      </c>
      <c r="B292" t="s">
        <v>10</v>
      </c>
      <c r="C292">
        <v>65</v>
      </c>
      <c r="D292" t="s">
        <v>11</v>
      </c>
      <c r="E292" t="s">
        <v>543</v>
      </c>
      <c r="F292" t="s">
        <v>544</v>
      </c>
      <c r="G292">
        <v>51050</v>
      </c>
      <c r="I292" t="s">
        <v>14</v>
      </c>
    </row>
    <row r="293" spans="1:9">
      <c r="A293" t="s">
        <v>9</v>
      </c>
      <c r="B293" t="s">
        <v>10</v>
      </c>
      <c r="C293">
        <v>65</v>
      </c>
      <c r="D293" t="s">
        <v>11</v>
      </c>
      <c r="E293" t="s">
        <v>545</v>
      </c>
      <c r="F293" t="s">
        <v>546</v>
      </c>
      <c r="G293">
        <v>44260</v>
      </c>
      <c r="I293" t="s">
        <v>14</v>
      </c>
    </row>
    <row r="294" spans="1:9">
      <c r="A294" t="s">
        <v>9</v>
      </c>
      <c r="B294" t="s">
        <v>10</v>
      </c>
      <c r="C294">
        <v>65</v>
      </c>
      <c r="D294" t="s">
        <v>11</v>
      </c>
      <c r="E294" t="s">
        <v>547</v>
      </c>
      <c r="F294" t="s">
        <v>548</v>
      </c>
      <c r="G294">
        <v>227090</v>
      </c>
      <c r="I294" t="s">
        <v>14</v>
      </c>
    </row>
    <row r="295" spans="1:9">
      <c r="A295" t="s">
        <v>9</v>
      </c>
      <c r="B295" t="s">
        <v>10</v>
      </c>
      <c r="C295">
        <v>65</v>
      </c>
      <c r="D295" t="s">
        <v>11</v>
      </c>
      <c r="E295" t="s">
        <v>549</v>
      </c>
      <c r="F295" t="s">
        <v>550</v>
      </c>
      <c r="G295">
        <v>165640</v>
      </c>
      <c r="I295" t="s">
        <v>14</v>
      </c>
    </row>
    <row r="296" spans="1:9">
      <c r="A296" t="s">
        <v>9</v>
      </c>
      <c r="B296" t="s">
        <v>10</v>
      </c>
      <c r="C296">
        <v>65</v>
      </c>
      <c r="D296" t="s">
        <v>11</v>
      </c>
      <c r="E296" t="s">
        <v>551</v>
      </c>
      <c r="F296" t="s">
        <v>552</v>
      </c>
      <c r="G296">
        <v>350330</v>
      </c>
      <c r="I296" t="s">
        <v>14</v>
      </c>
    </row>
    <row r="297" spans="1:9">
      <c r="A297" t="s">
        <v>9</v>
      </c>
      <c r="B297" t="s">
        <v>10</v>
      </c>
      <c r="C297">
        <v>65</v>
      </c>
      <c r="D297" t="s">
        <v>11</v>
      </c>
      <c r="E297" t="s">
        <v>553</v>
      </c>
      <c r="F297" t="s">
        <v>554</v>
      </c>
      <c r="G297">
        <v>538440</v>
      </c>
      <c r="I297" t="s">
        <v>14</v>
      </c>
    </row>
    <row r="298" spans="1:9">
      <c r="A298" t="s">
        <v>9</v>
      </c>
      <c r="B298" t="s">
        <v>10</v>
      </c>
      <c r="C298">
        <v>65</v>
      </c>
      <c r="D298" t="s">
        <v>11</v>
      </c>
      <c r="E298" t="s">
        <v>555</v>
      </c>
      <c r="F298" t="s">
        <v>556</v>
      </c>
      <c r="G298">
        <v>352380</v>
      </c>
      <c r="I298" t="s">
        <v>14</v>
      </c>
    </row>
    <row r="299" spans="1:9">
      <c r="A299" t="s">
        <v>9</v>
      </c>
      <c r="B299" t="s">
        <v>10</v>
      </c>
      <c r="C299">
        <v>65</v>
      </c>
      <c r="D299" t="s">
        <v>11</v>
      </c>
      <c r="E299" t="s">
        <v>557</v>
      </c>
      <c r="F299" t="s">
        <v>558</v>
      </c>
      <c r="G299">
        <v>111860</v>
      </c>
      <c r="I299" t="s">
        <v>14</v>
      </c>
    </row>
    <row r="300" spans="1:9">
      <c r="A300" t="s">
        <v>9</v>
      </c>
      <c r="B300" t="s">
        <v>10</v>
      </c>
      <c r="C300">
        <v>65</v>
      </c>
      <c r="D300" t="s">
        <v>11</v>
      </c>
      <c r="E300" t="s">
        <v>559</v>
      </c>
      <c r="F300" t="s">
        <v>560</v>
      </c>
      <c r="G300">
        <v>22650</v>
      </c>
      <c r="I300" t="s">
        <v>14</v>
      </c>
    </row>
    <row r="301" spans="1:9">
      <c r="A301" t="s">
        <v>9</v>
      </c>
      <c r="B301" t="s">
        <v>10</v>
      </c>
      <c r="C301">
        <v>65</v>
      </c>
      <c r="D301" t="s">
        <v>11</v>
      </c>
      <c r="E301" t="s">
        <v>561</v>
      </c>
      <c r="F301" t="s">
        <v>562</v>
      </c>
      <c r="G301">
        <v>5850</v>
      </c>
      <c r="I301" t="s">
        <v>14</v>
      </c>
    </row>
    <row r="302" spans="1:9">
      <c r="A302" t="s">
        <v>9</v>
      </c>
      <c r="B302" t="s">
        <v>10</v>
      </c>
      <c r="C302">
        <v>65</v>
      </c>
      <c r="D302" t="s">
        <v>11</v>
      </c>
      <c r="E302" t="s">
        <v>563</v>
      </c>
      <c r="F302" t="s">
        <v>564</v>
      </c>
      <c r="G302">
        <v>15120</v>
      </c>
      <c r="I302" t="s">
        <v>14</v>
      </c>
    </row>
    <row r="303" spans="1:9">
      <c r="A303" t="s">
        <v>9</v>
      </c>
      <c r="B303" t="s">
        <v>10</v>
      </c>
      <c r="C303">
        <v>65</v>
      </c>
      <c r="D303" t="s">
        <v>11</v>
      </c>
      <c r="E303" t="s">
        <v>565</v>
      </c>
      <c r="F303" t="s">
        <v>566</v>
      </c>
      <c r="G303">
        <v>16210</v>
      </c>
      <c r="I303" t="s">
        <v>14</v>
      </c>
    </row>
    <row r="304" spans="1:9">
      <c r="A304" t="s">
        <v>9</v>
      </c>
      <c r="B304" t="s">
        <v>10</v>
      </c>
      <c r="C304">
        <v>65</v>
      </c>
      <c r="D304" t="s">
        <v>11</v>
      </c>
      <c r="E304" t="s">
        <v>567</v>
      </c>
      <c r="F304" t="s">
        <v>568</v>
      </c>
      <c r="G304">
        <v>32760</v>
      </c>
      <c r="I304" t="s">
        <v>14</v>
      </c>
    </row>
    <row r="305" spans="1:9">
      <c r="A305" t="s">
        <v>9</v>
      </c>
      <c r="B305" t="s">
        <v>10</v>
      </c>
      <c r="C305">
        <v>65</v>
      </c>
      <c r="D305" t="s">
        <v>11</v>
      </c>
      <c r="E305" t="s">
        <v>569</v>
      </c>
      <c r="F305" t="s">
        <v>570</v>
      </c>
      <c r="G305">
        <v>18950</v>
      </c>
      <c r="I305" t="s">
        <v>14</v>
      </c>
    </row>
    <row r="306" spans="1:9">
      <c r="A306" t="s">
        <v>9</v>
      </c>
      <c r="B306" t="s">
        <v>10</v>
      </c>
      <c r="C306">
        <v>65</v>
      </c>
      <c r="D306" t="s">
        <v>11</v>
      </c>
      <c r="E306" t="s">
        <v>571</v>
      </c>
      <c r="F306" t="s">
        <v>572</v>
      </c>
      <c r="G306">
        <v>100580</v>
      </c>
      <c r="I306" t="s">
        <v>14</v>
      </c>
    </row>
    <row r="307" spans="1:9">
      <c r="A307" t="s">
        <v>9</v>
      </c>
      <c r="B307" t="s">
        <v>10</v>
      </c>
      <c r="C307">
        <v>65</v>
      </c>
      <c r="D307" t="s">
        <v>11</v>
      </c>
      <c r="E307" t="s">
        <v>573</v>
      </c>
      <c r="F307" t="s">
        <v>574</v>
      </c>
      <c r="G307">
        <v>127440</v>
      </c>
      <c r="I307" t="s">
        <v>14</v>
      </c>
    </row>
    <row r="308" spans="1:9">
      <c r="A308" t="s">
        <v>9</v>
      </c>
      <c r="B308" t="s">
        <v>10</v>
      </c>
      <c r="C308">
        <v>65</v>
      </c>
      <c r="D308" t="s">
        <v>11</v>
      </c>
      <c r="E308" t="s">
        <v>575</v>
      </c>
      <c r="F308" t="s">
        <v>576</v>
      </c>
      <c r="G308">
        <v>382300</v>
      </c>
      <c r="I308" t="s">
        <v>14</v>
      </c>
    </row>
    <row r="309" spans="1:9">
      <c r="A309" t="s">
        <v>9</v>
      </c>
      <c r="B309" t="s">
        <v>10</v>
      </c>
      <c r="C309">
        <v>65</v>
      </c>
      <c r="D309" t="s">
        <v>11</v>
      </c>
      <c r="E309" t="s">
        <v>577</v>
      </c>
      <c r="F309" t="s">
        <v>578</v>
      </c>
      <c r="G309">
        <v>303780</v>
      </c>
      <c r="I309" t="s">
        <v>14</v>
      </c>
    </row>
    <row r="310" spans="1:9">
      <c r="A310" t="s">
        <v>9</v>
      </c>
      <c r="B310" t="s">
        <v>10</v>
      </c>
      <c r="C310">
        <v>65</v>
      </c>
      <c r="D310" t="s">
        <v>11</v>
      </c>
      <c r="E310" t="s">
        <v>579</v>
      </c>
      <c r="F310" t="s">
        <v>580</v>
      </c>
      <c r="G310">
        <v>89230</v>
      </c>
      <c r="I310" t="s">
        <v>14</v>
      </c>
    </row>
    <row r="311" spans="1:9">
      <c r="A311" t="s">
        <v>9</v>
      </c>
      <c r="B311" t="s">
        <v>10</v>
      </c>
      <c r="C311">
        <v>65</v>
      </c>
      <c r="D311" t="s">
        <v>11</v>
      </c>
      <c r="E311" t="s">
        <v>581</v>
      </c>
      <c r="F311" t="s">
        <v>582</v>
      </c>
      <c r="G311">
        <v>18910</v>
      </c>
      <c r="I311" t="s">
        <v>14</v>
      </c>
    </row>
    <row r="312" spans="1:9">
      <c r="A312" t="s">
        <v>9</v>
      </c>
      <c r="B312" t="s">
        <v>10</v>
      </c>
      <c r="C312">
        <v>65</v>
      </c>
      <c r="D312" t="s">
        <v>11</v>
      </c>
      <c r="E312" t="s">
        <v>583</v>
      </c>
      <c r="F312" t="s">
        <v>584</v>
      </c>
      <c r="G312">
        <v>3250</v>
      </c>
      <c r="I312" t="s">
        <v>14</v>
      </c>
    </row>
    <row r="313" spans="1:9">
      <c r="A313" t="s">
        <v>9</v>
      </c>
      <c r="B313" t="s">
        <v>10</v>
      </c>
      <c r="C313">
        <v>65</v>
      </c>
      <c r="D313" t="s">
        <v>11</v>
      </c>
      <c r="E313" t="s">
        <v>585</v>
      </c>
      <c r="F313" t="s">
        <v>586</v>
      </c>
      <c r="G313">
        <v>1380</v>
      </c>
      <c r="I313" t="s">
        <v>14</v>
      </c>
    </row>
    <row r="314" spans="1:9">
      <c r="A314" t="s">
        <v>9</v>
      </c>
      <c r="B314" t="s">
        <v>10</v>
      </c>
      <c r="C314">
        <v>65</v>
      </c>
      <c r="D314" t="s">
        <v>11</v>
      </c>
      <c r="E314" t="s">
        <v>587</v>
      </c>
      <c r="F314" t="s">
        <v>588</v>
      </c>
      <c r="G314">
        <v>5480</v>
      </c>
      <c r="I314" t="s">
        <v>14</v>
      </c>
    </row>
    <row r="315" spans="1:9">
      <c r="A315" t="s">
        <v>9</v>
      </c>
      <c r="B315" t="s">
        <v>10</v>
      </c>
      <c r="C315">
        <v>65</v>
      </c>
      <c r="D315" t="s">
        <v>11</v>
      </c>
      <c r="E315" t="s">
        <v>589</v>
      </c>
      <c r="F315" t="s">
        <v>590</v>
      </c>
      <c r="G315">
        <v>74080</v>
      </c>
      <c r="I315" t="s">
        <v>14</v>
      </c>
    </row>
    <row r="316" spans="1:9">
      <c r="A316" t="s">
        <v>9</v>
      </c>
      <c r="B316" t="s">
        <v>10</v>
      </c>
      <c r="C316">
        <v>65</v>
      </c>
      <c r="D316" t="s">
        <v>11</v>
      </c>
      <c r="E316" t="s">
        <v>591</v>
      </c>
      <c r="F316" t="s">
        <v>592</v>
      </c>
      <c r="G316">
        <v>60020</v>
      </c>
      <c r="I316" t="s">
        <v>14</v>
      </c>
    </row>
    <row r="317" spans="1:9">
      <c r="A317" t="s">
        <v>9</v>
      </c>
      <c r="B317" t="s">
        <v>10</v>
      </c>
      <c r="C317">
        <v>65</v>
      </c>
      <c r="D317" t="s">
        <v>11</v>
      </c>
      <c r="E317" t="s">
        <v>593</v>
      </c>
      <c r="F317" t="s">
        <v>594</v>
      </c>
      <c r="G317">
        <v>63200</v>
      </c>
      <c r="I317" t="s">
        <v>14</v>
      </c>
    </row>
    <row r="318" spans="1:9">
      <c r="A318" t="s">
        <v>9</v>
      </c>
      <c r="B318" t="s">
        <v>10</v>
      </c>
      <c r="C318">
        <v>65</v>
      </c>
      <c r="D318" t="s">
        <v>11</v>
      </c>
      <c r="E318" t="s">
        <v>595</v>
      </c>
      <c r="F318" t="s">
        <v>596</v>
      </c>
      <c r="G318">
        <v>223130</v>
      </c>
      <c r="I318" t="s">
        <v>14</v>
      </c>
    </row>
    <row r="319" spans="1:9">
      <c r="A319" t="s">
        <v>9</v>
      </c>
      <c r="B319" t="s">
        <v>10</v>
      </c>
      <c r="C319">
        <v>65</v>
      </c>
      <c r="D319" t="s">
        <v>11</v>
      </c>
      <c r="E319" t="s">
        <v>597</v>
      </c>
      <c r="F319" t="s">
        <v>598</v>
      </c>
      <c r="G319">
        <v>159720</v>
      </c>
      <c r="I319" t="s">
        <v>14</v>
      </c>
    </row>
    <row r="320" spans="1:9">
      <c r="A320" t="s">
        <v>9</v>
      </c>
      <c r="B320" t="s">
        <v>10</v>
      </c>
      <c r="C320">
        <v>65</v>
      </c>
      <c r="D320" t="s">
        <v>11</v>
      </c>
      <c r="E320" t="s">
        <v>599</v>
      </c>
      <c r="F320" t="s">
        <v>600</v>
      </c>
      <c r="G320">
        <v>351500</v>
      </c>
      <c r="I320" t="s">
        <v>14</v>
      </c>
    </row>
    <row r="321" spans="1:9">
      <c r="A321" t="s">
        <v>9</v>
      </c>
      <c r="B321" t="s">
        <v>10</v>
      </c>
      <c r="C321">
        <v>65</v>
      </c>
      <c r="D321" t="s">
        <v>11</v>
      </c>
      <c r="E321" t="s">
        <v>601</v>
      </c>
      <c r="F321" t="s">
        <v>602</v>
      </c>
      <c r="G321">
        <v>454090</v>
      </c>
      <c r="I321" t="s">
        <v>14</v>
      </c>
    </row>
    <row r="322" spans="1:9">
      <c r="A322" t="s">
        <v>9</v>
      </c>
      <c r="B322" t="s">
        <v>10</v>
      </c>
      <c r="C322">
        <v>65</v>
      </c>
      <c r="D322" t="s">
        <v>11</v>
      </c>
      <c r="E322" t="s">
        <v>603</v>
      </c>
      <c r="F322" t="s">
        <v>604</v>
      </c>
      <c r="G322">
        <v>476180</v>
      </c>
      <c r="I322" t="s">
        <v>14</v>
      </c>
    </row>
    <row r="323" spans="1:9">
      <c r="A323" t="s">
        <v>9</v>
      </c>
      <c r="B323" t="s">
        <v>10</v>
      </c>
      <c r="C323">
        <v>65</v>
      </c>
      <c r="D323" t="s">
        <v>11</v>
      </c>
      <c r="E323" t="s">
        <v>605</v>
      </c>
      <c r="F323" t="s">
        <v>606</v>
      </c>
      <c r="G323">
        <v>146290</v>
      </c>
      <c r="I323" t="s">
        <v>14</v>
      </c>
    </row>
    <row r="324" spans="1:9">
      <c r="A324" t="s">
        <v>9</v>
      </c>
      <c r="B324" t="s">
        <v>10</v>
      </c>
      <c r="C324">
        <v>65</v>
      </c>
      <c r="D324" t="s">
        <v>11</v>
      </c>
      <c r="E324" t="s">
        <v>607</v>
      </c>
      <c r="F324" t="s">
        <v>608</v>
      </c>
      <c r="G324">
        <v>24590</v>
      </c>
      <c r="I324" t="s">
        <v>14</v>
      </c>
    </row>
    <row r="325" spans="1:9">
      <c r="A325" t="s">
        <v>9</v>
      </c>
      <c r="B325" t="s">
        <v>10</v>
      </c>
      <c r="C325">
        <v>65</v>
      </c>
      <c r="D325" t="s">
        <v>11</v>
      </c>
      <c r="E325" t="s">
        <v>609</v>
      </c>
      <c r="F325" t="s">
        <v>610</v>
      </c>
      <c r="G325">
        <v>13120</v>
      </c>
      <c r="I325" t="s">
        <v>14</v>
      </c>
    </row>
    <row r="326" spans="1:9">
      <c r="A326" t="s">
        <v>9</v>
      </c>
      <c r="B326" t="s">
        <v>10</v>
      </c>
      <c r="C326">
        <v>65</v>
      </c>
      <c r="D326" t="s">
        <v>11</v>
      </c>
      <c r="E326" t="s">
        <v>611</v>
      </c>
      <c r="F326" t="s">
        <v>612</v>
      </c>
      <c r="G326">
        <v>15340</v>
      </c>
      <c r="I326" t="s">
        <v>14</v>
      </c>
    </row>
    <row r="327" spans="1:9">
      <c r="A327" t="s">
        <v>9</v>
      </c>
      <c r="B327" t="s">
        <v>10</v>
      </c>
      <c r="C327">
        <v>65</v>
      </c>
      <c r="D327" t="s">
        <v>11</v>
      </c>
      <c r="E327" t="s">
        <v>613</v>
      </c>
      <c r="F327" t="s">
        <v>614</v>
      </c>
      <c r="G327">
        <v>87010</v>
      </c>
      <c r="I327" t="s">
        <v>14</v>
      </c>
    </row>
    <row r="328" spans="1:9">
      <c r="A328" t="s">
        <v>9</v>
      </c>
      <c r="B328" t="s">
        <v>10</v>
      </c>
      <c r="C328">
        <v>65</v>
      </c>
      <c r="D328" t="s">
        <v>11</v>
      </c>
      <c r="E328" t="s">
        <v>615</v>
      </c>
      <c r="F328" t="s">
        <v>616</v>
      </c>
      <c r="G328">
        <v>44110</v>
      </c>
      <c r="I328" t="s">
        <v>14</v>
      </c>
    </row>
    <row r="329" spans="1:9">
      <c r="A329" t="s">
        <v>9</v>
      </c>
      <c r="B329" t="s">
        <v>10</v>
      </c>
      <c r="C329">
        <v>65</v>
      </c>
      <c r="D329" t="s">
        <v>11</v>
      </c>
      <c r="E329" t="s">
        <v>617</v>
      </c>
      <c r="F329" t="s">
        <v>618</v>
      </c>
      <c r="G329">
        <v>51260</v>
      </c>
      <c r="I329" t="s">
        <v>14</v>
      </c>
    </row>
    <row r="330" spans="1:9">
      <c r="A330" t="s">
        <v>9</v>
      </c>
      <c r="B330" t="s">
        <v>10</v>
      </c>
      <c r="C330">
        <v>65</v>
      </c>
      <c r="D330" t="s">
        <v>11</v>
      </c>
      <c r="E330" t="s">
        <v>619</v>
      </c>
      <c r="F330" t="s">
        <v>620</v>
      </c>
      <c r="G330">
        <v>82210</v>
      </c>
      <c r="I330" t="s">
        <v>14</v>
      </c>
    </row>
    <row r="331" spans="1:9">
      <c r="A331" t="s">
        <v>9</v>
      </c>
      <c r="B331" t="s">
        <v>10</v>
      </c>
      <c r="C331">
        <v>65</v>
      </c>
      <c r="D331" t="s">
        <v>11</v>
      </c>
      <c r="E331" t="s">
        <v>621</v>
      </c>
      <c r="F331" t="s">
        <v>622</v>
      </c>
      <c r="G331">
        <v>343420</v>
      </c>
      <c r="I331" t="s">
        <v>14</v>
      </c>
    </row>
    <row r="332" spans="1:9">
      <c r="A332" t="s">
        <v>9</v>
      </c>
      <c r="B332" t="s">
        <v>10</v>
      </c>
      <c r="C332">
        <v>65</v>
      </c>
      <c r="D332" t="s">
        <v>11</v>
      </c>
      <c r="E332" t="s">
        <v>623</v>
      </c>
      <c r="F332" t="s">
        <v>624</v>
      </c>
      <c r="G332">
        <v>263770</v>
      </c>
      <c r="I332" t="s">
        <v>14</v>
      </c>
    </row>
    <row r="333" spans="1:9">
      <c r="A333" t="s">
        <v>9</v>
      </c>
      <c r="B333" t="s">
        <v>10</v>
      </c>
      <c r="C333">
        <v>65</v>
      </c>
      <c r="D333" t="s">
        <v>11</v>
      </c>
      <c r="E333" t="s">
        <v>625</v>
      </c>
      <c r="F333" t="s">
        <v>626</v>
      </c>
      <c r="G333">
        <v>447770</v>
      </c>
      <c r="I333" t="s">
        <v>14</v>
      </c>
    </row>
    <row r="334" spans="1:9">
      <c r="A334" t="s">
        <v>9</v>
      </c>
      <c r="B334" t="s">
        <v>10</v>
      </c>
      <c r="C334">
        <v>65</v>
      </c>
      <c r="D334" t="s">
        <v>11</v>
      </c>
      <c r="E334" t="s">
        <v>627</v>
      </c>
      <c r="F334" t="s">
        <v>628</v>
      </c>
      <c r="G334">
        <v>152650</v>
      </c>
      <c r="I334" t="s">
        <v>14</v>
      </c>
    </row>
    <row r="335" spans="1:9">
      <c r="A335" t="s">
        <v>9</v>
      </c>
      <c r="B335" t="s">
        <v>10</v>
      </c>
      <c r="C335">
        <v>65</v>
      </c>
      <c r="D335" t="s">
        <v>11</v>
      </c>
      <c r="E335" t="s">
        <v>629</v>
      </c>
      <c r="F335" t="s">
        <v>630</v>
      </c>
      <c r="G335">
        <v>27620</v>
      </c>
      <c r="I335" t="s">
        <v>14</v>
      </c>
    </row>
    <row r="336" spans="1:9">
      <c r="A336" t="s">
        <v>9</v>
      </c>
      <c r="B336" t="s">
        <v>10</v>
      </c>
      <c r="C336">
        <v>65</v>
      </c>
      <c r="D336" t="s">
        <v>11</v>
      </c>
      <c r="E336" t="s">
        <v>631</v>
      </c>
      <c r="F336" t="s">
        <v>632</v>
      </c>
      <c r="G336">
        <v>7300</v>
      </c>
      <c r="I336" t="s">
        <v>14</v>
      </c>
    </row>
    <row r="337" spans="1:9">
      <c r="A337" t="s">
        <v>9</v>
      </c>
      <c r="B337" t="s">
        <v>10</v>
      </c>
      <c r="C337">
        <v>65</v>
      </c>
      <c r="D337" t="s">
        <v>11</v>
      </c>
      <c r="E337" t="s">
        <v>633</v>
      </c>
      <c r="F337" t="s">
        <v>634</v>
      </c>
      <c r="G337">
        <v>2560</v>
      </c>
      <c r="I337" t="s">
        <v>14</v>
      </c>
    </row>
    <row r="338" spans="1:9">
      <c r="A338" t="s">
        <v>9</v>
      </c>
      <c r="B338" t="s">
        <v>10</v>
      </c>
      <c r="C338">
        <v>65</v>
      </c>
      <c r="D338" t="s">
        <v>11</v>
      </c>
      <c r="E338" t="s">
        <v>635</v>
      </c>
      <c r="F338" t="s">
        <v>636</v>
      </c>
      <c r="G338">
        <v>0</v>
      </c>
      <c r="I338" t="s">
        <v>14</v>
      </c>
    </row>
    <row r="339" spans="1:9">
      <c r="A339" t="s">
        <v>9</v>
      </c>
      <c r="B339" t="s">
        <v>10</v>
      </c>
      <c r="C339">
        <v>65</v>
      </c>
      <c r="D339" t="s">
        <v>11</v>
      </c>
      <c r="E339" t="s">
        <v>637</v>
      </c>
      <c r="F339" t="s">
        <v>638</v>
      </c>
      <c r="G339">
        <v>5790</v>
      </c>
      <c r="I339" t="s">
        <v>14</v>
      </c>
    </row>
    <row r="340" spans="1:9">
      <c r="A340" t="s">
        <v>9</v>
      </c>
      <c r="B340" t="s">
        <v>10</v>
      </c>
      <c r="C340">
        <v>65</v>
      </c>
      <c r="D340" t="s">
        <v>11</v>
      </c>
      <c r="E340" t="s">
        <v>639</v>
      </c>
      <c r="F340" t="s">
        <v>640</v>
      </c>
      <c r="G340">
        <v>18120</v>
      </c>
      <c r="I340" t="s">
        <v>14</v>
      </c>
    </row>
    <row r="341" spans="1:9">
      <c r="A341" t="s">
        <v>9</v>
      </c>
      <c r="B341" t="s">
        <v>10</v>
      </c>
      <c r="C341">
        <v>65</v>
      </c>
      <c r="D341" t="s">
        <v>11</v>
      </c>
      <c r="E341" t="s">
        <v>641</v>
      </c>
      <c r="F341" t="s">
        <v>642</v>
      </c>
      <c r="G341">
        <v>19060</v>
      </c>
      <c r="I341" t="s">
        <v>14</v>
      </c>
    </row>
    <row r="342" spans="1:9">
      <c r="A342" t="s">
        <v>9</v>
      </c>
      <c r="B342" t="s">
        <v>10</v>
      </c>
      <c r="C342">
        <v>65</v>
      </c>
      <c r="D342" t="s">
        <v>11</v>
      </c>
      <c r="E342" t="s">
        <v>643</v>
      </c>
      <c r="F342" t="s">
        <v>644</v>
      </c>
      <c r="G342">
        <v>40450</v>
      </c>
      <c r="I342" t="s">
        <v>14</v>
      </c>
    </row>
    <row r="343" spans="1:9">
      <c r="A343" t="s">
        <v>9</v>
      </c>
      <c r="B343" t="s">
        <v>10</v>
      </c>
      <c r="C343">
        <v>65</v>
      </c>
      <c r="D343" t="s">
        <v>11</v>
      </c>
      <c r="E343" t="s">
        <v>645</v>
      </c>
      <c r="F343" t="s">
        <v>646</v>
      </c>
      <c r="G343">
        <v>99400</v>
      </c>
      <c r="I343" t="s">
        <v>14</v>
      </c>
    </row>
    <row r="344" spans="1:9">
      <c r="A344" t="s">
        <v>9</v>
      </c>
      <c r="B344" t="s">
        <v>10</v>
      </c>
      <c r="C344">
        <v>65</v>
      </c>
      <c r="D344" t="s">
        <v>11</v>
      </c>
      <c r="E344" t="s">
        <v>647</v>
      </c>
      <c r="F344" t="s">
        <v>648</v>
      </c>
      <c r="G344">
        <v>148100</v>
      </c>
      <c r="I344" t="s">
        <v>14</v>
      </c>
    </row>
    <row r="345" spans="1:9">
      <c r="A345" t="s">
        <v>9</v>
      </c>
      <c r="B345" t="s">
        <v>10</v>
      </c>
      <c r="C345">
        <v>65</v>
      </c>
      <c r="D345" t="s">
        <v>11</v>
      </c>
      <c r="E345" t="s">
        <v>649</v>
      </c>
      <c r="F345" t="s">
        <v>650</v>
      </c>
      <c r="G345">
        <v>378120</v>
      </c>
      <c r="I345" t="s">
        <v>14</v>
      </c>
    </row>
    <row r="346" spans="1:9">
      <c r="A346" t="s">
        <v>9</v>
      </c>
      <c r="B346" t="s">
        <v>10</v>
      </c>
      <c r="C346">
        <v>65</v>
      </c>
      <c r="D346" t="s">
        <v>11</v>
      </c>
      <c r="E346" t="s">
        <v>651</v>
      </c>
      <c r="F346" t="s">
        <v>652</v>
      </c>
      <c r="G346">
        <v>224690</v>
      </c>
      <c r="I346" t="s">
        <v>14</v>
      </c>
    </row>
    <row r="347" spans="1:9">
      <c r="A347" t="s">
        <v>9</v>
      </c>
      <c r="B347" t="s">
        <v>10</v>
      </c>
      <c r="C347">
        <v>65</v>
      </c>
      <c r="D347" t="s">
        <v>11</v>
      </c>
      <c r="E347" t="s">
        <v>653</v>
      </c>
      <c r="F347" t="s">
        <v>654</v>
      </c>
      <c r="G347">
        <v>40740</v>
      </c>
      <c r="I347" t="s">
        <v>14</v>
      </c>
    </row>
    <row r="348" spans="1:9">
      <c r="A348" t="s">
        <v>9</v>
      </c>
      <c r="B348" t="s">
        <v>10</v>
      </c>
      <c r="C348">
        <v>65</v>
      </c>
      <c r="D348" t="s">
        <v>11</v>
      </c>
      <c r="E348" t="s">
        <v>655</v>
      </c>
      <c r="F348" t="s">
        <v>656</v>
      </c>
      <c r="G348">
        <v>4570</v>
      </c>
      <c r="I348" t="s">
        <v>14</v>
      </c>
    </row>
    <row r="349" spans="1:9">
      <c r="A349" t="s">
        <v>9</v>
      </c>
      <c r="B349" t="s">
        <v>10</v>
      </c>
      <c r="C349">
        <v>65</v>
      </c>
      <c r="D349" t="s">
        <v>11</v>
      </c>
      <c r="E349" t="s">
        <v>657</v>
      </c>
      <c r="F349" t="s">
        <v>658</v>
      </c>
      <c r="G349">
        <v>0</v>
      </c>
      <c r="I349" t="s">
        <v>14</v>
      </c>
    </row>
    <row r="350" spans="1:9">
      <c r="A350" t="s">
        <v>9</v>
      </c>
      <c r="B350" t="s">
        <v>10</v>
      </c>
      <c r="C350">
        <v>65</v>
      </c>
      <c r="D350" t="s">
        <v>11</v>
      </c>
      <c r="E350" t="s">
        <v>659</v>
      </c>
      <c r="F350" t="s">
        <v>660</v>
      </c>
      <c r="G350">
        <v>1860</v>
      </c>
      <c r="I350" t="s">
        <v>14</v>
      </c>
    </row>
    <row r="351" spans="1:9">
      <c r="A351" t="s">
        <v>9</v>
      </c>
      <c r="B351" t="s">
        <v>10</v>
      </c>
      <c r="C351">
        <v>65</v>
      </c>
      <c r="D351" t="s">
        <v>11</v>
      </c>
      <c r="E351" t="s">
        <v>661</v>
      </c>
      <c r="F351" t="s">
        <v>662</v>
      </c>
      <c r="G351">
        <v>1240</v>
      </c>
      <c r="I351" t="s">
        <v>14</v>
      </c>
    </row>
    <row r="352" spans="1:9">
      <c r="A352" t="s">
        <v>9</v>
      </c>
      <c r="B352" t="s">
        <v>10</v>
      </c>
      <c r="C352">
        <v>65</v>
      </c>
      <c r="D352" t="s">
        <v>11</v>
      </c>
      <c r="E352" t="s">
        <v>663</v>
      </c>
      <c r="F352" t="s">
        <v>664</v>
      </c>
      <c r="G352">
        <v>23030</v>
      </c>
      <c r="I352" t="s">
        <v>14</v>
      </c>
    </row>
    <row r="353" spans="1:9">
      <c r="A353" t="s">
        <v>9</v>
      </c>
      <c r="B353" t="s">
        <v>10</v>
      </c>
      <c r="C353">
        <v>65</v>
      </c>
      <c r="D353" t="s">
        <v>11</v>
      </c>
      <c r="E353" t="s">
        <v>665</v>
      </c>
      <c r="F353" t="s">
        <v>666</v>
      </c>
      <c r="G353">
        <v>39030</v>
      </c>
      <c r="I353" t="s">
        <v>14</v>
      </c>
    </row>
    <row r="354" spans="1:9">
      <c r="A354" t="s">
        <v>9</v>
      </c>
      <c r="B354" t="s">
        <v>10</v>
      </c>
      <c r="C354">
        <v>65</v>
      </c>
      <c r="D354" t="s">
        <v>11</v>
      </c>
      <c r="E354" t="s">
        <v>667</v>
      </c>
      <c r="F354" t="s">
        <v>668</v>
      </c>
      <c r="G354">
        <v>70060</v>
      </c>
      <c r="I354" t="s">
        <v>14</v>
      </c>
    </row>
    <row r="355" spans="1:9">
      <c r="A355" t="s">
        <v>9</v>
      </c>
      <c r="B355" t="s">
        <v>10</v>
      </c>
      <c r="C355">
        <v>65</v>
      </c>
      <c r="D355" t="s">
        <v>11</v>
      </c>
      <c r="E355" t="s">
        <v>669</v>
      </c>
      <c r="F355" t="s">
        <v>670</v>
      </c>
      <c r="G355">
        <v>146570</v>
      </c>
      <c r="I355" t="s">
        <v>14</v>
      </c>
    </row>
    <row r="356" spans="1:9">
      <c r="A356" t="s">
        <v>9</v>
      </c>
      <c r="B356" t="s">
        <v>10</v>
      </c>
      <c r="C356">
        <v>65</v>
      </c>
      <c r="D356" t="s">
        <v>11</v>
      </c>
      <c r="E356" t="s">
        <v>671</v>
      </c>
      <c r="F356" t="s">
        <v>672</v>
      </c>
      <c r="G356">
        <v>245920</v>
      </c>
      <c r="I356" t="s">
        <v>14</v>
      </c>
    </row>
    <row r="357" spans="1:9">
      <c r="A357" t="s">
        <v>9</v>
      </c>
      <c r="B357" t="s">
        <v>10</v>
      </c>
      <c r="C357">
        <v>65</v>
      </c>
      <c r="D357" t="s">
        <v>11</v>
      </c>
      <c r="E357" t="s">
        <v>673</v>
      </c>
      <c r="F357" t="s">
        <v>674</v>
      </c>
      <c r="G357">
        <v>274800</v>
      </c>
      <c r="I357" t="s">
        <v>14</v>
      </c>
    </row>
    <row r="358" spans="1:9">
      <c r="A358" t="s">
        <v>9</v>
      </c>
      <c r="B358" t="s">
        <v>10</v>
      </c>
      <c r="C358">
        <v>65</v>
      </c>
      <c r="D358" t="s">
        <v>11</v>
      </c>
      <c r="E358" t="s">
        <v>675</v>
      </c>
      <c r="F358" t="s">
        <v>676</v>
      </c>
      <c r="G358">
        <v>286230</v>
      </c>
      <c r="I358" t="s">
        <v>14</v>
      </c>
    </row>
    <row r="359" spans="1:9">
      <c r="A359" t="s">
        <v>9</v>
      </c>
      <c r="B359" t="s">
        <v>10</v>
      </c>
      <c r="C359">
        <v>65</v>
      </c>
      <c r="D359" t="s">
        <v>11</v>
      </c>
      <c r="E359" t="s">
        <v>677</v>
      </c>
      <c r="F359" t="s">
        <v>678</v>
      </c>
      <c r="G359">
        <v>48840</v>
      </c>
      <c r="I359" t="s">
        <v>14</v>
      </c>
    </row>
    <row r="360" spans="1:9">
      <c r="A360" t="s">
        <v>9</v>
      </c>
      <c r="B360" t="s">
        <v>10</v>
      </c>
      <c r="C360">
        <v>65</v>
      </c>
      <c r="D360" t="s">
        <v>11</v>
      </c>
      <c r="E360" t="s">
        <v>679</v>
      </c>
      <c r="F360" t="s">
        <v>680</v>
      </c>
      <c r="G360">
        <v>9990</v>
      </c>
      <c r="I360" t="s">
        <v>14</v>
      </c>
    </row>
    <row r="361" spans="1:9">
      <c r="A361" t="s">
        <v>9</v>
      </c>
      <c r="B361" t="s">
        <v>10</v>
      </c>
      <c r="C361">
        <v>65</v>
      </c>
      <c r="D361" t="s">
        <v>11</v>
      </c>
      <c r="E361" t="s">
        <v>681</v>
      </c>
      <c r="F361" t="s">
        <v>682</v>
      </c>
      <c r="G361">
        <v>0</v>
      </c>
      <c r="I361" t="s">
        <v>14</v>
      </c>
    </row>
    <row r="362" spans="1:9">
      <c r="A362" t="s">
        <v>9</v>
      </c>
      <c r="B362" t="s">
        <v>10</v>
      </c>
      <c r="C362">
        <v>65</v>
      </c>
      <c r="D362" t="s">
        <v>11</v>
      </c>
      <c r="E362" t="s">
        <v>683</v>
      </c>
      <c r="F362" t="s">
        <v>684</v>
      </c>
      <c r="G362">
        <v>9020</v>
      </c>
      <c r="I362" t="s">
        <v>14</v>
      </c>
    </row>
    <row r="363" spans="1:9">
      <c r="A363" t="s">
        <v>9</v>
      </c>
      <c r="B363" t="s">
        <v>10</v>
      </c>
      <c r="C363">
        <v>65</v>
      </c>
      <c r="D363" t="s">
        <v>11</v>
      </c>
      <c r="E363" t="s">
        <v>685</v>
      </c>
      <c r="F363" t="s">
        <v>686</v>
      </c>
      <c r="G363">
        <v>20370</v>
      </c>
      <c r="I363" t="s">
        <v>14</v>
      </c>
    </row>
    <row r="364" spans="1:9">
      <c r="A364" t="s">
        <v>9</v>
      </c>
      <c r="B364" t="s">
        <v>10</v>
      </c>
      <c r="C364">
        <v>65</v>
      </c>
      <c r="D364" t="s">
        <v>11</v>
      </c>
      <c r="E364" t="s">
        <v>687</v>
      </c>
      <c r="F364" t="s">
        <v>688</v>
      </c>
      <c r="G364">
        <v>10720</v>
      </c>
      <c r="I364" t="s">
        <v>14</v>
      </c>
    </row>
    <row r="365" spans="1:9">
      <c r="A365" t="s">
        <v>9</v>
      </c>
      <c r="B365" t="s">
        <v>10</v>
      </c>
      <c r="C365">
        <v>65</v>
      </c>
      <c r="D365" t="s">
        <v>11</v>
      </c>
      <c r="E365" t="s">
        <v>689</v>
      </c>
      <c r="F365" t="s">
        <v>690</v>
      </c>
      <c r="G365">
        <v>26090</v>
      </c>
      <c r="I365" t="s">
        <v>14</v>
      </c>
    </row>
    <row r="366" spans="1:9">
      <c r="A366" t="s">
        <v>9</v>
      </c>
      <c r="B366" t="s">
        <v>10</v>
      </c>
      <c r="C366">
        <v>65</v>
      </c>
      <c r="D366" t="s">
        <v>11</v>
      </c>
      <c r="E366" t="s">
        <v>691</v>
      </c>
      <c r="F366" t="s">
        <v>692</v>
      </c>
      <c r="G366">
        <v>44490</v>
      </c>
      <c r="I366" t="s">
        <v>14</v>
      </c>
    </row>
    <row r="367" spans="1:9">
      <c r="A367" t="s">
        <v>9</v>
      </c>
      <c r="B367" t="s">
        <v>10</v>
      </c>
      <c r="C367">
        <v>65</v>
      </c>
      <c r="D367" t="s">
        <v>11</v>
      </c>
      <c r="E367" t="s">
        <v>693</v>
      </c>
      <c r="F367" t="s">
        <v>694</v>
      </c>
      <c r="G367">
        <v>66270</v>
      </c>
      <c r="I367" t="s">
        <v>14</v>
      </c>
    </row>
    <row r="368" spans="1:9">
      <c r="A368" t="s">
        <v>9</v>
      </c>
      <c r="B368" t="s">
        <v>10</v>
      </c>
      <c r="C368">
        <v>65</v>
      </c>
      <c r="D368" t="s">
        <v>11</v>
      </c>
      <c r="E368" t="s">
        <v>695</v>
      </c>
      <c r="F368" t="s">
        <v>696</v>
      </c>
      <c r="G368">
        <v>154030</v>
      </c>
      <c r="I368" t="s">
        <v>14</v>
      </c>
    </row>
    <row r="369" spans="1:9">
      <c r="A369" t="s">
        <v>9</v>
      </c>
      <c r="B369" t="s">
        <v>10</v>
      </c>
      <c r="C369">
        <v>65</v>
      </c>
      <c r="D369" t="s">
        <v>11</v>
      </c>
      <c r="E369" t="s">
        <v>697</v>
      </c>
      <c r="F369" t="s">
        <v>698</v>
      </c>
      <c r="G369">
        <v>209320</v>
      </c>
      <c r="I369" t="s">
        <v>14</v>
      </c>
    </row>
    <row r="370" spans="1:9">
      <c r="A370" t="s">
        <v>9</v>
      </c>
      <c r="B370" t="s">
        <v>10</v>
      </c>
      <c r="C370">
        <v>65</v>
      </c>
      <c r="D370" t="s">
        <v>11</v>
      </c>
      <c r="E370" t="s">
        <v>699</v>
      </c>
      <c r="F370" t="s">
        <v>700</v>
      </c>
      <c r="G370">
        <v>49010</v>
      </c>
      <c r="I370" t="s">
        <v>14</v>
      </c>
    </row>
    <row r="371" spans="1:9">
      <c r="A371" t="s">
        <v>9</v>
      </c>
      <c r="B371" t="s">
        <v>10</v>
      </c>
      <c r="C371">
        <v>65</v>
      </c>
      <c r="D371" t="s">
        <v>11</v>
      </c>
      <c r="E371" t="s">
        <v>701</v>
      </c>
      <c r="F371" t="s">
        <v>702</v>
      </c>
      <c r="G371">
        <v>10220</v>
      </c>
      <c r="I371" t="s">
        <v>14</v>
      </c>
    </row>
    <row r="372" spans="1:9">
      <c r="A372" t="s">
        <v>9</v>
      </c>
      <c r="B372" t="s">
        <v>10</v>
      </c>
      <c r="C372">
        <v>65</v>
      </c>
      <c r="D372" t="s">
        <v>11</v>
      </c>
      <c r="E372" t="s">
        <v>703</v>
      </c>
      <c r="F372" t="s">
        <v>704</v>
      </c>
      <c r="G372">
        <v>940</v>
      </c>
      <c r="I372" t="s">
        <v>14</v>
      </c>
    </row>
    <row r="373" spans="1:9">
      <c r="A373" t="s">
        <v>9</v>
      </c>
      <c r="B373" t="s">
        <v>10</v>
      </c>
      <c r="C373">
        <v>65</v>
      </c>
      <c r="D373" t="s">
        <v>11</v>
      </c>
      <c r="E373" t="s">
        <v>705</v>
      </c>
      <c r="F373" t="s">
        <v>706</v>
      </c>
      <c r="G373">
        <v>1810</v>
      </c>
      <c r="I373" t="s">
        <v>14</v>
      </c>
    </row>
    <row r="374" spans="1:9">
      <c r="A374" t="s">
        <v>9</v>
      </c>
      <c r="B374" t="s">
        <v>10</v>
      </c>
      <c r="C374">
        <v>65</v>
      </c>
      <c r="D374" t="s">
        <v>11</v>
      </c>
      <c r="E374" t="s">
        <v>707</v>
      </c>
      <c r="F374" t="s">
        <v>708</v>
      </c>
      <c r="G374">
        <v>1680</v>
      </c>
      <c r="I374" t="s">
        <v>14</v>
      </c>
    </row>
    <row r="375" spans="1:9">
      <c r="A375" t="s">
        <v>9</v>
      </c>
      <c r="B375" t="s">
        <v>10</v>
      </c>
      <c r="C375">
        <v>65</v>
      </c>
      <c r="D375" t="s">
        <v>11</v>
      </c>
      <c r="E375" t="s">
        <v>709</v>
      </c>
      <c r="F375" t="s">
        <v>710</v>
      </c>
      <c r="G375">
        <v>6040</v>
      </c>
      <c r="I375" t="s">
        <v>14</v>
      </c>
    </row>
    <row r="376" spans="1:9">
      <c r="A376" t="s">
        <v>9</v>
      </c>
      <c r="B376" t="s">
        <v>10</v>
      </c>
      <c r="C376">
        <v>65</v>
      </c>
      <c r="D376" t="s">
        <v>11</v>
      </c>
      <c r="E376" t="s">
        <v>711</v>
      </c>
      <c r="F376" t="s">
        <v>712</v>
      </c>
      <c r="G376">
        <v>93660</v>
      </c>
      <c r="I376" t="s">
        <v>14</v>
      </c>
    </row>
    <row r="377" spans="1:9">
      <c r="A377" t="s">
        <v>9</v>
      </c>
      <c r="B377" t="s">
        <v>10</v>
      </c>
      <c r="C377">
        <v>65</v>
      </c>
      <c r="D377" t="s">
        <v>11</v>
      </c>
      <c r="E377" t="s">
        <v>713</v>
      </c>
      <c r="F377" t="s">
        <v>714</v>
      </c>
      <c r="G377">
        <v>79370</v>
      </c>
      <c r="I377" t="s">
        <v>14</v>
      </c>
    </row>
    <row r="378" spans="1:9">
      <c r="A378" t="s">
        <v>9</v>
      </c>
      <c r="B378" t="s">
        <v>10</v>
      </c>
      <c r="C378">
        <v>65</v>
      </c>
      <c r="D378" t="s">
        <v>11</v>
      </c>
      <c r="E378" t="s">
        <v>715</v>
      </c>
      <c r="F378" t="s">
        <v>716</v>
      </c>
      <c r="G378">
        <v>240200</v>
      </c>
      <c r="I378" t="s">
        <v>14</v>
      </c>
    </row>
    <row r="379" spans="1:9">
      <c r="A379" t="s">
        <v>9</v>
      </c>
      <c r="B379" t="s">
        <v>10</v>
      </c>
      <c r="C379">
        <v>65</v>
      </c>
      <c r="D379" t="s">
        <v>11</v>
      </c>
      <c r="E379" t="s">
        <v>717</v>
      </c>
      <c r="F379" t="s">
        <v>718</v>
      </c>
      <c r="G379">
        <v>171590</v>
      </c>
      <c r="I379" t="s">
        <v>14</v>
      </c>
    </row>
    <row r="380" spans="1:9">
      <c r="A380" t="s">
        <v>9</v>
      </c>
      <c r="B380" t="s">
        <v>10</v>
      </c>
      <c r="C380">
        <v>65</v>
      </c>
      <c r="D380" t="s">
        <v>11</v>
      </c>
      <c r="E380" t="s">
        <v>719</v>
      </c>
      <c r="F380" t="s">
        <v>720</v>
      </c>
      <c r="G380">
        <v>245050</v>
      </c>
      <c r="I380" t="s">
        <v>14</v>
      </c>
    </row>
    <row r="381" spans="1:9">
      <c r="A381" t="s">
        <v>9</v>
      </c>
      <c r="B381" t="s">
        <v>10</v>
      </c>
      <c r="C381">
        <v>65</v>
      </c>
      <c r="D381" t="s">
        <v>11</v>
      </c>
      <c r="E381" t="s">
        <v>721</v>
      </c>
      <c r="F381" t="s">
        <v>722</v>
      </c>
      <c r="G381">
        <v>524150</v>
      </c>
      <c r="I381" t="s">
        <v>14</v>
      </c>
    </row>
    <row r="382" spans="1:9">
      <c r="A382" t="s">
        <v>9</v>
      </c>
      <c r="B382" t="s">
        <v>10</v>
      </c>
      <c r="C382">
        <v>65</v>
      </c>
      <c r="D382" t="s">
        <v>11</v>
      </c>
      <c r="E382" t="s">
        <v>723</v>
      </c>
      <c r="F382" t="s">
        <v>724</v>
      </c>
      <c r="G382">
        <v>532660</v>
      </c>
      <c r="I382" t="s">
        <v>14</v>
      </c>
    </row>
    <row r="383" spans="1:9">
      <c r="A383" t="s">
        <v>9</v>
      </c>
      <c r="B383" t="s">
        <v>10</v>
      </c>
      <c r="C383">
        <v>65</v>
      </c>
      <c r="D383" t="s">
        <v>11</v>
      </c>
      <c r="E383" t="s">
        <v>725</v>
      </c>
      <c r="F383" t="s">
        <v>726</v>
      </c>
      <c r="G383">
        <v>175840</v>
      </c>
      <c r="I383" t="s">
        <v>14</v>
      </c>
    </row>
    <row r="384" spans="1:9">
      <c r="A384" t="s">
        <v>9</v>
      </c>
      <c r="B384" t="s">
        <v>10</v>
      </c>
      <c r="C384">
        <v>65</v>
      </c>
      <c r="D384" t="s">
        <v>11</v>
      </c>
      <c r="E384" t="s">
        <v>727</v>
      </c>
      <c r="F384" t="s">
        <v>728</v>
      </c>
      <c r="G384">
        <v>31970</v>
      </c>
      <c r="I384" t="s">
        <v>14</v>
      </c>
    </row>
    <row r="385" spans="1:9">
      <c r="A385" t="s">
        <v>9</v>
      </c>
      <c r="B385" t="s">
        <v>10</v>
      </c>
      <c r="C385">
        <v>65</v>
      </c>
      <c r="D385" t="s">
        <v>11</v>
      </c>
      <c r="E385" t="s">
        <v>729</v>
      </c>
      <c r="F385" t="s">
        <v>730</v>
      </c>
      <c r="G385">
        <v>12040</v>
      </c>
      <c r="I385" t="s">
        <v>14</v>
      </c>
    </row>
    <row r="386" spans="1:9">
      <c r="A386" t="s">
        <v>9</v>
      </c>
      <c r="B386" t="s">
        <v>10</v>
      </c>
      <c r="C386">
        <v>65</v>
      </c>
      <c r="D386" t="s">
        <v>11</v>
      </c>
      <c r="E386" t="s">
        <v>731</v>
      </c>
      <c r="F386" t="s">
        <v>732</v>
      </c>
      <c r="G386">
        <v>5720</v>
      </c>
      <c r="I386" t="s">
        <v>14</v>
      </c>
    </row>
    <row r="387" spans="1:9">
      <c r="A387" t="s">
        <v>9</v>
      </c>
      <c r="B387" t="s">
        <v>10</v>
      </c>
      <c r="C387">
        <v>65</v>
      </c>
      <c r="D387" t="s">
        <v>11</v>
      </c>
      <c r="E387" t="s">
        <v>733</v>
      </c>
      <c r="F387" t="s">
        <v>734</v>
      </c>
      <c r="G387">
        <v>3200</v>
      </c>
      <c r="I387" t="s">
        <v>14</v>
      </c>
    </row>
    <row r="388" spans="1:9">
      <c r="A388" t="s">
        <v>9</v>
      </c>
      <c r="B388" t="s">
        <v>10</v>
      </c>
      <c r="C388">
        <v>65</v>
      </c>
      <c r="D388" t="s">
        <v>11</v>
      </c>
      <c r="E388" t="s">
        <v>735</v>
      </c>
      <c r="F388" t="s">
        <v>736</v>
      </c>
      <c r="G388">
        <v>10860</v>
      </c>
      <c r="I388" t="s">
        <v>14</v>
      </c>
    </row>
    <row r="389" spans="1:9">
      <c r="A389" t="s">
        <v>9</v>
      </c>
      <c r="B389" t="s">
        <v>10</v>
      </c>
      <c r="C389">
        <v>65</v>
      </c>
      <c r="D389" t="s">
        <v>11</v>
      </c>
      <c r="E389" t="s">
        <v>737</v>
      </c>
      <c r="F389" t="s">
        <v>738</v>
      </c>
      <c r="G389">
        <v>26900</v>
      </c>
      <c r="I389" t="s">
        <v>14</v>
      </c>
    </row>
    <row r="390" spans="1:9">
      <c r="A390" t="s">
        <v>9</v>
      </c>
      <c r="B390" t="s">
        <v>10</v>
      </c>
      <c r="C390">
        <v>65</v>
      </c>
      <c r="D390" t="s">
        <v>11</v>
      </c>
      <c r="E390" t="s">
        <v>739</v>
      </c>
      <c r="F390" t="s">
        <v>740</v>
      </c>
      <c r="G390">
        <v>31480</v>
      </c>
      <c r="I390" t="s">
        <v>14</v>
      </c>
    </row>
    <row r="391" spans="1:9">
      <c r="A391" t="s">
        <v>9</v>
      </c>
      <c r="B391" t="s">
        <v>10</v>
      </c>
      <c r="C391">
        <v>65</v>
      </c>
      <c r="D391" t="s">
        <v>11</v>
      </c>
      <c r="E391" t="s">
        <v>741</v>
      </c>
      <c r="F391" t="s">
        <v>742</v>
      </c>
      <c r="G391">
        <v>82590</v>
      </c>
      <c r="I391" t="s">
        <v>14</v>
      </c>
    </row>
    <row r="392" spans="1:9">
      <c r="A392" t="s">
        <v>9</v>
      </c>
      <c r="B392" t="s">
        <v>10</v>
      </c>
      <c r="C392">
        <v>65</v>
      </c>
      <c r="D392" t="s">
        <v>11</v>
      </c>
      <c r="E392" t="s">
        <v>743</v>
      </c>
      <c r="F392" t="s">
        <v>744</v>
      </c>
      <c r="G392">
        <v>170940</v>
      </c>
      <c r="I392" t="s">
        <v>14</v>
      </c>
    </row>
    <row r="393" spans="1:9">
      <c r="A393" t="s">
        <v>9</v>
      </c>
      <c r="B393" t="s">
        <v>10</v>
      </c>
      <c r="C393">
        <v>65</v>
      </c>
      <c r="D393" t="s">
        <v>11</v>
      </c>
      <c r="E393" t="s">
        <v>745</v>
      </c>
      <c r="F393" t="s">
        <v>746</v>
      </c>
      <c r="G393">
        <v>250820</v>
      </c>
      <c r="I393" t="s">
        <v>14</v>
      </c>
    </row>
    <row r="394" spans="1:9">
      <c r="A394" t="s">
        <v>9</v>
      </c>
      <c r="B394" t="s">
        <v>10</v>
      </c>
      <c r="C394">
        <v>65</v>
      </c>
      <c r="D394" t="s">
        <v>11</v>
      </c>
      <c r="E394" t="s">
        <v>747</v>
      </c>
      <c r="F394" t="s">
        <v>748</v>
      </c>
      <c r="G394">
        <v>426150</v>
      </c>
      <c r="I394" t="s">
        <v>14</v>
      </c>
    </row>
    <row r="395" spans="1:9">
      <c r="A395" t="s">
        <v>9</v>
      </c>
      <c r="B395" t="s">
        <v>10</v>
      </c>
      <c r="C395">
        <v>65</v>
      </c>
      <c r="D395" t="s">
        <v>11</v>
      </c>
      <c r="E395" t="s">
        <v>749</v>
      </c>
      <c r="F395" t="s">
        <v>750</v>
      </c>
      <c r="G395">
        <v>75100</v>
      </c>
      <c r="I395" t="s">
        <v>14</v>
      </c>
    </row>
    <row r="396" spans="1:9">
      <c r="A396" t="s">
        <v>9</v>
      </c>
      <c r="B396" t="s">
        <v>10</v>
      </c>
      <c r="C396">
        <v>65</v>
      </c>
      <c r="D396" t="s">
        <v>11</v>
      </c>
      <c r="E396" t="s">
        <v>751</v>
      </c>
      <c r="F396" t="s">
        <v>752</v>
      </c>
      <c r="G396">
        <v>16070</v>
      </c>
      <c r="I396" t="s">
        <v>14</v>
      </c>
    </row>
    <row r="397" spans="1:9">
      <c r="A397" t="s">
        <v>9</v>
      </c>
      <c r="B397" t="s">
        <v>10</v>
      </c>
      <c r="C397">
        <v>65</v>
      </c>
      <c r="D397" t="s">
        <v>11</v>
      </c>
      <c r="E397" t="s">
        <v>753</v>
      </c>
      <c r="F397" t="s">
        <v>754</v>
      </c>
      <c r="G397">
        <v>4540</v>
      </c>
      <c r="I397" t="s">
        <v>14</v>
      </c>
    </row>
    <row r="398" spans="1:9">
      <c r="A398" t="s">
        <v>9</v>
      </c>
      <c r="B398" t="s">
        <v>10</v>
      </c>
      <c r="C398">
        <v>65</v>
      </c>
      <c r="D398" t="s">
        <v>11</v>
      </c>
      <c r="E398" t="s">
        <v>755</v>
      </c>
      <c r="F398" t="s">
        <v>756</v>
      </c>
      <c r="G398">
        <v>0</v>
      </c>
      <c r="I398" t="s">
        <v>14</v>
      </c>
    </row>
    <row r="399" spans="1:9">
      <c r="A399" t="s">
        <v>9</v>
      </c>
      <c r="B399" t="s">
        <v>10</v>
      </c>
      <c r="C399">
        <v>65</v>
      </c>
      <c r="D399" t="s">
        <v>11</v>
      </c>
      <c r="E399" t="s">
        <v>757</v>
      </c>
      <c r="F399" t="s">
        <v>758</v>
      </c>
      <c r="G399">
        <v>7960</v>
      </c>
      <c r="I399" t="s">
        <v>14</v>
      </c>
    </row>
    <row r="400" spans="1:9">
      <c r="A400" t="s">
        <v>9</v>
      </c>
      <c r="B400" t="s">
        <v>10</v>
      </c>
      <c r="C400">
        <v>65</v>
      </c>
      <c r="D400" t="s">
        <v>11</v>
      </c>
      <c r="E400" t="s">
        <v>759</v>
      </c>
      <c r="F400" t="s">
        <v>760</v>
      </c>
      <c r="G400">
        <v>40850</v>
      </c>
      <c r="I400" t="s">
        <v>14</v>
      </c>
    </row>
    <row r="401" spans="1:9">
      <c r="A401" t="s">
        <v>9</v>
      </c>
      <c r="B401" t="s">
        <v>10</v>
      </c>
      <c r="C401">
        <v>65</v>
      </c>
      <c r="D401" t="s">
        <v>11</v>
      </c>
      <c r="E401" t="s">
        <v>761</v>
      </c>
      <c r="F401" t="s">
        <v>762</v>
      </c>
      <c r="G401">
        <v>64910</v>
      </c>
      <c r="I401" t="s">
        <v>14</v>
      </c>
    </row>
    <row r="402" spans="1:9">
      <c r="A402" t="s">
        <v>9</v>
      </c>
      <c r="B402" t="s">
        <v>10</v>
      </c>
      <c r="C402">
        <v>65</v>
      </c>
      <c r="D402" t="s">
        <v>11</v>
      </c>
      <c r="E402" t="s">
        <v>763</v>
      </c>
      <c r="F402" t="s">
        <v>764</v>
      </c>
      <c r="G402">
        <v>89980</v>
      </c>
      <c r="I402" t="s">
        <v>14</v>
      </c>
    </row>
    <row r="403" spans="1:9">
      <c r="A403" t="s">
        <v>9</v>
      </c>
      <c r="B403" t="s">
        <v>10</v>
      </c>
      <c r="C403">
        <v>65</v>
      </c>
      <c r="D403" t="s">
        <v>11</v>
      </c>
      <c r="E403" t="s">
        <v>765</v>
      </c>
      <c r="F403" t="s">
        <v>766</v>
      </c>
      <c r="G403">
        <v>150250</v>
      </c>
      <c r="I403" t="s">
        <v>14</v>
      </c>
    </row>
    <row r="404" spans="1:9">
      <c r="A404" t="s">
        <v>9</v>
      </c>
      <c r="B404" t="s">
        <v>10</v>
      </c>
      <c r="C404">
        <v>65</v>
      </c>
      <c r="D404" t="s">
        <v>11</v>
      </c>
      <c r="E404" t="s">
        <v>767</v>
      </c>
      <c r="F404" t="s">
        <v>768</v>
      </c>
      <c r="G404">
        <v>186390</v>
      </c>
      <c r="I404" t="s">
        <v>14</v>
      </c>
    </row>
    <row r="405" spans="1:9">
      <c r="A405" t="s">
        <v>9</v>
      </c>
      <c r="B405" t="s">
        <v>10</v>
      </c>
      <c r="C405">
        <v>65</v>
      </c>
      <c r="D405" t="s">
        <v>11</v>
      </c>
      <c r="E405" t="s">
        <v>769</v>
      </c>
      <c r="F405" t="s">
        <v>770</v>
      </c>
      <c r="G405">
        <v>149040</v>
      </c>
      <c r="I405" t="s">
        <v>14</v>
      </c>
    </row>
    <row r="406" spans="1:9">
      <c r="A406" t="s">
        <v>9</v>
      </c>
      <c r="B406" t="s">
        <v>10</v>
      </c>
      <c r="C406">
        <v>65</v>
      </c>
      <c r="D406" t="s">
        <v>11</v>
      </c>
      <c r="E406" t="s">
        <v>771</v>
      </c>
      <c r="F406" t="s">
        <v>772</v>
      </c>
      <c r="G406">
        <v>95090</v>
      </c>
      <c r="I406" t="s">
        <v>14</v>
      </c>
    </row>
    <row r="407" spans="1:9">
      <c r="A407" t="s">
        <v>9</v>
      </c>
      <c r="B407" t="s">
        <v>10</v>
      </c>
      <c r="C407">
        <v>65</v>
      </c>
      <c r="D407" t="s">
        <v>11</v>
      </c>
      <c r="E407" t="s">
        <v>773</v>
      </c>
      <c r="F407" t="s">
        <v>774</v>
      </c>
      <c r="G407">
        <v>12070</v>
      </c>
      <c r="I407" t="s">
        <v>14</v>
      </c>
    </row>
    <row r="408" spans="1:9">
      <c r="A408" t="s">
        <v>9</v>
      </c>
      <c r="B408" t="s">
        <v>10</v>
      </c>
      <c r="C408">
        <v>65</v>
      </c>
      <c r="D408" t="s">
        <v>11</v>
      </c>
      <c r="E408" t="s">
        <v>775</v>
      </c>
      <c r="F408" t="s">
        <v>776</v>
      </c>
      <c r="G408">
        <v>6110</v>
      </c>
      <c r="I408" t="s">
        <v>14</v>
      </c>
    </row>
    <row r="409" spans="1:9">
      <c r="A409" t="s">
        <v>9</v>
      </c>
      <c r="B409" t="s">
        <v>10</v>
      </c>
      <c r="C409">
        <v>65</v>
      </c>
      <c r="D409" t="s">
        <v>11</v>
      </c>
      <c r="E409" t="s">
        <v>777</v>
      </c>
      <c r="F409" t="s">
        <v>778</v>
      </c>
      <c r="G409">
        <v>4570</v>
      </c>
      <c r="I409" t="s">
        <v>14</v>
      </c>
    </row>
    <row r="410" spans="1:9">
      <c r="A410" t="s">
        <v>9</v>
      </c>
      <c r="B410" t="s">
        <v>10</v>
      </c>
      <c r="C410">
        <v>65</v>
      </c>
      <c r="D410" t="s">
        <v>11</v>
      </c>
      <c r="E410" t="s">
        <v>779</v>
      </c>
      <c r="F410" t="s">
        <v>780</v>
      </c>
      <c r="G410">
        <v>11180</v>
      </c>
      <c r="I410" t="s">
        <v>14</v>
      </c>
    </row>
    <row r="411" spans="1:9">
      <c r="A411" t="s">
        <v>9</v>
      </c>
      <c r="B411" t="s">
        <v>10</v>
      </c>
      <c r="C411">
        <v>65</v>
      </c>
      <c r="D411" t="s">
        <v>11</v>
      </c>
      <c r="E411" t="s">
        <v>781</v>
      </c>
      <c r="F411" t="s">
        <v>782</v>
      </c>
      <c r="G411">
        <v>47620</v>
      </c>
      <c r="I411" t="s">
        <v>14</v>
      </c>
    </row>
    <row r="412" spans="1:9">
      <c r="A412" t="s">
        <v>9</v>
      </c>
      <c r="B412" t="s">
        <v>10</v>
      </c>
      <c r="C412">
        <v>65</v>
      </c>
      <c r="D412" t="s">
        <v>11</v>
      </c>
      <c r="E412" t="s">
        <v>783</v>
      </c>
      <c r="F412" t="s">
        <v>784</v>
      </c>
      <c r="G412">
        <v>51950</v>
      </c>
      <c r="I412" t="s">
        <v>14</v>
      </c>
    </row>
    <row r="413" spans="1:9">
      <c r="A413" t="s">
        <v>9</v>
      </c>
      <c r="B413" t="s">
        <v>10</v>
      </c>
      <c r="C413">
        <v>65</v>
      </c>
      <c r="D413" t="s">
        <v>11</v>
      </c>
      <c r="E413" t="s">
        <v>785</v>
      </c>
      <c r="F413" t="s">
        <v>786</v>
      </c>
      <c r="G413">
        <v>105900</v>
      </c>
      <c r="I413" t="s">
        <v>14</v>
      </c>
    </row>
    <row r="414" spans="1:9">
      <c r="A414" t="s">
        <v>9</v>
      </c>
      <c r="B414" t="s">
        <v>10</v>
      </c>
      <c r="C414">
        <v>65</v>
      </c>
      <c r="D414" t="s">
        <v>11</v>
      </c>
      <c r="E414" t="s">
        <v>787</v>
      </c>
      <c r="F414" t="s">
        <v>788</v>
      </c>
      <c r="G414">
        <v>107270</v>
      </c>
      <c r="I414" t="s">
        <v>14</v>
      </c>
    </row>
    <row r="415" spans="1:9">
      <c r="A415" t="s">
        <v>9</v>
      </c>
      <c r="B415" t="s">
        <v>10</v>
      </c>
      <c r="C415">
        <v>65</v>
      </c>
      <c r="D415" t="s">
        <v>11</v>
      </c>
      <c r="E415" t="s">
        <v>789</v>
      </c>
      <c r="F415" t="s">
        <v>790</v>
      </c>
      <c r="G415">
        <v>136890</v>
      </c>
      <c r="I415" t="s">
        <v>14</v>
      </c>
    </row>
    <row r="416" spans="1:9">
      <c r="A416" t="s">
        <v>9</v>
      </c>
      <c r="B416" t="s">
        <v>10</v>
      </c>
      <c r="C416">
        <v>65</v>
      </c>
      <c r="D416" t="s">
        <v>11</v>
      </c>
      <c r="E416" t="s">
        <v>791</v>
      </c>
      <c r="F416" t="s">
        <v>792</v>
      </c>
      <c r="G416">
        <v>465490</v>
      </c>
      <c r="I416" t="s">
        <v>14</v>
      </c>
    </row>
    <row r="417" spans="1:9">
      <c r="A417" t="s">
        <v>9</v>
      </c>
      <c r="B417" t="s">
        <v>10</v>
      </c>
      <c r="C417">
        <v>65</v>
      </c>
      <c r="D417" t="s">
        <v>11</v>
      </c>
      <c r="E417" t="s">
        <v>793</v>
      </c>
      <c r="F417" t="s">
        <v>794</v>
      </c>
      <c r="G417">
        <v>530700</v>
      </c>
      <c r="I417" t="s">
        <v>14</v>
      </c>
    </row>
    <row r="418" spans="1:9">
      <c r="A418" t="s">
        <v>9</v>
      </c>
      <c r="B418" t="s">
        <v>10</v>
      </c>
      <c r="C418">
        <v>65</v>
      </c>
      <c r="D418" t="s">
        <v>11</v>
      </c>
      <c r="E418" t="s">
        <v>795</v>
      </c>
      <c r="F418" t="s">
        <v>796</v>
      </c>
      <c r="G418">
        <v>511480</v>
      </c>
      <c r="I418" t="s">
        <v>14</v>
      </c>
    </row>
    <row r="419" spans="1:9">
      <c r="A419" t="s">
        <v>9</v>
      </c>
      <c r="B419" t="s">
        <v>10</v>
      </c>
      <c r="C419">
        <v>65</v>
      </c>
      <c r="D419" t="s">
        <v>11</v>
      </c>
      <c r="E419" t="s">
        <v>797</v>
      </c>
      <c r="F419" t="s">
        <v>798</v>
      </c>
      <c r="G419">
        <v>109590</v>
      </c>
      <c r="I419" t="s">
        <v>14</v>
      </c>
    </row>
    <row r="420" spans="1:9">
      <c r="A420" t="s">
        <v>9</v>
      </c>
      <c r="B420" t="s">
        <v>10</v>
      </c>
      <c r="C420">
        <v>65</v>
      </c>
      <c r="D420" t="s">
        <v>11</v>
      </c>
      <c r="E420" t="s">
        <v>799</v>
      </c>
      <c r="F420" t="s">
        <v>800</v>
      </c>
      <c r="G420">
        <v>20730</v>
      </c>
      <c r="I420" t="s">
        <v>14</v>
      </c>
    </row>
    <row r="421" spans="1:9">
      <c r="A421" t="s">
        <v>9</v>
      </c>
      <c r="B421" t="s">
        <v>10</v>
      </c>
      <c r="C421">
        <v>65</v>
      </c>
      <c r="D421" t="s">
        <v>11</v>
      </c>
      <c r="E421" t="s">
        <v>801</v>
      </c>
      <c r="F421" t="s">
        <v>802</v>
      </c>
      <c r="G421">
        <v>4070</v>
      </c>
      <c r="I421" t="s">
        <v>14</v>
      </c>
    </row>
    <row r="422" spans="1:9">
      <c r="A422" t="s">
        <v>9</v>
      </c>
      <c r="B422" t="s">
        <v>10</v>
      </c>
      <c r="C422">
        <v>65</v>
      </c>
      <c r="D422" t="s">
        <v>11</v>
      </c>
      <c r="E422" t="s">
        <v>803</v>
      </c>
      <c r="F422" t="s">
        <v>804</v>
      </c>
      <c r="G422">
        <v>11590</v>
      </c>
      <c r="I422" t="s">
        <v>14</v>
      </c>
    </row>
    <row r="423" spans="1:9">
      <c r="A423" t="s">
        <v>9</v>
      </c>
      <c r="B423" t="s">
        <v>10</v>
      </c>
      <c r="C423">
        <v>65</v>
      </c>
      <c r="D423" t="s">
        <v>11</v>
      </c>
      <c r="E423" t="s">
        <v>805</v>
      </c>
      <c r="F423" t="s">
        <v>806</v>
      </c>
      <c r="G423">
        <v>19590</v>
      </c>
      <c r="I423" t="s">
        <v>14</v>
      </c>
    </row>
    <row r="424" spans="1:9">
      <c r="A424" t="s">
        <v>9</v>
      </c>
      <c r="B424" t="s">
        <v>10</v>
      </c>
      <c r="C424">
        <v>65</v>
      </c>
      <c r="D424" t="s">
        <v>11</v>
      </c>
      <c r="E424" t="s">
        <v>807</v>
      </c>
      <c r="F424" t="s">
        <v>808</v>
      </c>
      <c r="G424">
        <v>18160</v>
      </c>
      <c r="I424" t="s">
        <v>14</v>
      </c>
    </row>
    <row r="425" spans="1:9">
      <c r="A425" t="s">
        <v>9</v>
      </c>
      <c r="B425" t="s">
        <v>10</v>
      </c>
      <c r="C425">
        <v>65</v>
      </c>
      <c r="D425" t="s">
        <v>11</v>
      </c>
      <c r="E425" t="s">
        <v>809</v>
      </c>
      <c r="F425" t="s">
        <v>810</v>
      </c>
      <c r="G425">
        <v>104790</v>
      </c>
      <c r="I425" t="s">
        <v>14</v>
      </c>
    </row>
    <row r="426" spans="1:9">
      <c r="A426" t="s">
        <v>9</v>
      </c>
      <c r="B426" t="s">
        <v>10</v>
      </c>
      <c r="C426">
        <v>65</v>
      </c>
      <c r="D426" t="s">
        <v>11</v>
      </c>
      <c r="E426" t="s">
        <v>811</v>
      </c>
      <c r="F426" t="s">
        <v>812</v>
      </c>
      <c r="G426">
        <v>351980</v>
      </c>
      <c r="I426" t="s">
        <v>14</v>
      </c>
    </row>
    <row r="427" spans="1:9">
      <c r="A427" t="s">
        <v>9</v>
      </c>
      <c r="B427" t="s">
        <v>10</v>
      </c>
      <c r="C427">
        <v>65</v>
      </c>
      <c r="D427" t="s">
        <v>11</v>
      </c>
      <c r="E427" t="s">
        <v>813</v>
      </c>
      <c r="F427" t="s">
        <v>814</v>
      </c>
      <c r="G427">
        <v>207530</v>
      </c>
      <c r="I427" t="s">
        <v>14</v>
      </c>
    </row>
    <row r="428" spans="1:9">
      <c r="A428" t="s">
        <v>9</v>
      </c>
      <c r="B428" t="s">
        <v>10</v>
      </c>
      <c r="C428">
        <v>65</v>
      </c>
      <c r="D428" t="s">
        <v>11</v>
      </c>
      <c r="E428" t="s">
        <v>815</v>
      </c>
      <c r="F428" t="s">
        <v>816</v>
      </c>
      <c r="G428">
        <v>392940</v>
      </c>
      <c r="I428" t="s">
        <v>14</v>
      </c>
    </row>
    <row r="429" spans="1:9">
      <c r="A429" t="s">
        <v>9</v>
      </c>
      <c r="B429" t="s">
        <v>10</v>
      </c>
      <c r="C429">
        <v>65</v>
      </c>
      <c r="D429" t="s">
        <v>11</v>
      </c>
      <c r="E429" t="s">
        <v>817</v>
      </c>
      <c r="F429" t="s">
        <v>818</v>
      </c>
      <c r="G429">
        <v>520230</v>
      </c>
      <c r="I429" t="s">
        <v>14</v>
      </c>
    </row>
    <row r="430" spans="1:9">
      <c r="A430" t="s">
        <v>9</v>
      </c>
      <c r="B430" t="s">
        <v>10</v>
      </c>
      <c r="C430">
        <v>65</v>
      </c>
      <c r="D430" t="s">
        <v>11</v>
      </c>
      <c r="E430" t="s">
        <v>819</v>
      </c>
      <c r="F430" t="s">
        <v>820</v>
      </c>
      <c r="G430">
        <v>390220</v>
      </c>
      <c r="I430" t="s">
        <v>14</v>
      </c>
    </row>
    <row r="431" spans="1:9">
      <c r="A431" t="s">
        <v>9</v>
      </c>
      <c r="B431" t="s">
        <v>10</v>
      </c>
      <c r="C431">
        <v>65</v>
      </c>
      <c r="D431" t="s">
        <v>11</v>
      </c>
      <c r="E431" t="s">
        <v>821</v>
      </c>
      <c r="F431" t="s">
        <v>822</v>
      </c>
      <c r="G431">
        <v>122450</v>
      </c>
      <c r="I431" t="s">
        <v>14</v>
      </c>
    </row>
    <row r="432" spans="1:9">
      <c r="A432" t="s">
        <v>9</v>
      </c>
      <c r="B432" t="s">
        <v>10</v>
      </c>
      <c r="C432">
        <v>65</v>
      </c>
      <c r="D432" t="s">
        <v>11</v>
      </c>
      <c r="E432" t="s">
        <v>823</v>
      </c>
      <c r="F432" t="s">
        <v>824</v>
      </c>
      <c r="G432">
        <v>17810</v>
      </c>
      <c r="I432" t="s">
        <v>14</v>
      </c>
    </row>
    <row r="433" spans="1:9">
      <c r="A433" t="s">
        <v>9</v>
      </c>
      <c r="B433" t="s">
        <v>10</v>
      </c>
      <c r="C433">
        <v>65</v>
      </c>
      <c r="D433" t="s">
        <v>11</v>
      </c>
      <c r="E433" t="s">
        <v>825</v>
      </c>
      <c r="F433" t="s">
        <v>826</v>
      </c>
      <c r="G433">
        <v>2920</v>
      </c>
      <c r="I433" t="s">
        <v>14</v>
      </c>
    </row>
    <row r="434" spans="1:9">
      <c r="A434" t="s">
        <v>9</v>
      </c>
      <c r="B434" t="s">
        <v>10</v>
      </c>
      <c r="C434">
        <v>65</v>
      </c>
      <c r="D434" t="s">
        <v>11</v>
      </c>
      <c r="E434" t="s">
        <v>827</v>
      </c>
      <c r="F434" t="s">
        <v>828</v>
      </c>
      <c r="G434">
        <v>4320</v>
      </c>
      <c r="I434" t="s">
        <v>14</v>
      </c>
    </row>
    <row r="435" spans="1:9">
      <c r="A435" t="s">
        <v>9</v>
      </c>
      <c r="B435" t="s">
        <v>10</v>
      </c>
      <c r="C435">
        <v>65</v>
      </c>
      <c r="D435" t="s">
        <v>11</v>
      </c>
      <c r="E435" t="s">
        <v>829</v>
      </c>
      <c r="F435" t="s">
        <v>830</v>
      </c>
      <c r="G435">
        <v>8610</v>
      </c>
      <c r="I435" t="s">
        <v>14</v>
      </c>
    </row>
    <row r="436" spans="1:9">
      <c r="A436" t="s">
        <v>9</v>
      </c>
      <c r="B436" t="s">
        <v>10</v>
      </c>
      <c r="C436">
        <v>65</v>
      </c>
      <c r="D436" t="s">
        <v>11</v>
      </c>
      <c r="E436" t="s">
        <v>831</v>
      </c>
      <c r="F436" t="s">
        <v>832</v>
      </c>
      <c r="G436">
        <v>27320</v>
      </c>
      <c r="I436" t="s">
        <v>14</v>
      </c>
    </row>
    <row r="437" spans="1:9">
      <c r="A437" t="s">
        <v>9</v>
      </c>
      <c r="B437" t="s">
        <v>10</v>
      </c>
      <c r="C437">
        <v>65</v>
      </c>
      <c r="D437" t="s">
        <v>11</v>
      </c>
      <c r="E437" t="s">
        <v>833</v>
      </c>
      <c r="F437" t="s">
        <v>834</v>
      </c>
      <c r="G437">
        <v>31430</v>
      </c>
      <c r="I437" t="s">
        <v>14</v>
      </c>
    </row>
    <row r="438" spans="1:9">
      <c r="A438" t="s">
        <v>9</v>
      </c>
      <c r="B438" t="s">
        <v>10</v>
      </c>
      <c r="C438">
        <v>65</v>
      </c>
      <c r="D438" t="s">
        <v>11</v>
      </c>
      <c r="E438" t="s">
        <v>835</v>
      </c>
      <c r="F438" t="s">
        <v>836</v>
      </c>
      <c r="G438">
        <v>273900</v>
      </c>
      <c r="I438" t="s">
        <v>14</v>
      </c>
    </row>
    <row r="439" spans="1:9">
      <c r="A439" t="s">
        <v>9</v>
      </c>
      <c r="B439" t="s">
        <v>10</v>
      </c>
      <c r="C439">
        <v>65</v>
      </c>
      <c r="D439" t="s">
        <v>11</v>
      </c>
      <c r="E439" t="s">
        <v>837</v>
      </c>
      <c r="F439" t="s">
        <v>838</v>
      </c>
      <c r="G439">
        <v>209510</v>
      </c>
      <c r="I439" t="s">
        <v>14</v>
      </c>
    </row>
    <row r="440" spans="1:9">
      <c r="A440" t="s">
        <v>9</v>
      </c>
      <c r="B440" t="s">
        <v>10</v>
      </c>
      <c r="C440">
        <v>65</v>
      </c>
      <c r="D440" t="s">
        <v>11</v>
      </c>
      <c r="E440" t="s">
        <v>839</v>
      </c>
      <c r="F440" t="s">
        <v>840</v>
      </c>
      <c r="G440">
        <v>295600</v>
      </c>
      <c r="I440" t="s">
        <v>14</v>
      </c>
    </row>
    <row r="441" spans="1:9">
      <c r="A441" t="s">
        <v>9</v>
      </c>
      <c r="B441" t="s">
        <v>10</v>
      </c>
      <c r="C441">
        <v>65</v>
      </c>
      <c r="D441" t="s">
        <v>11</v>
      </c>
      <c r="E441" t="s">
        <v>841</v>
      </c>
      <c r="F441" t="s">
        <v>842</v>
      </c>
      <c r="G441">
        <v>633900</v>
      </c>
      <c r="I441" t="s">
        <v>14</v>
      </c>
    </row>
    <row r="442" spans="1:9">
      <c r="A442" t="s">
        <v>9</v>
      </c>
      <c r="B442" t="s">
        <v>10</v>
      </c>
      <c r="C442">
        <v>65</v>
      </c>
      <c r="D442" t="s">
        <v>11</v>
      </c>
      <c r="E442" t="s">
        <v>843</v>
      </c>
      <c r="F442" t="s">
        <v>844</v>
      </c>
      <c r="G442">
        <v>399410</v>
      </c>
      <c r="I442" t="s">
        <v>14</v>
      </c>
    </row>
    <row r="443" spans="1:9">
      <c r="A443" t="s">
        <v>9</v>
      </c>
      <c r="B443" t="s">
        <v>10</v>
      </c>
      <c r="C443">
        <v>65</v>
      </c>
      <c r="D443" t="s">
        <v>11</v>
      </c>
      <c r="E443" t="s">
        <v>845</v>
      </c>
      <c r="F443" t="s">
        <v>846</v>
      </c>
      <c r="G443">
        <v>91360</v>
      </c>
      <c r="I443" t="s">
        <v>14</v>
      </c>
    </row>
    <row r="444" spans="1:9">
      <c r="A444" t="s">
        <v>9</v>
      </c>
      <c r="B444" t="s">
        <v>10</v>
      </c>
      <c r="C444">
        <v>65</v>
      </c>
      <c r="D444" t="s">
        <v>11</v>
      </c>
      <c r="E444" t="s">
        <v>847</v>
      </c>
      <c r="F444" t="s">
        <v>848</v>
      </c>
      <c r="G444">
        <v>16850</v>
      </c>
      <c r="I444" t="s">
        <v>14</v>
      </c>
    </row>
    <row r="445" spans="1:9">
      <c r="A445" t="s">
        <v>9</v>
      </c>
      <c r="B445" t="s">
        <v>10</v>
      </c>
      <c r="C445">
        <v>65</v>
      </c>
      <c r="D445" t="s">
        <v>11</v>
      </c>
      <c r="E445" t="s">
        <v>849</v>
      </c>
      <c r="F445" t="s">
        <v>850</v>
      </c>
      <c r="G445">
        <v>4800</v>
      </c>
      <c r="I445" t="s">
        <v>14</v>
      </c>
    </row>
    <row r="446" spans="1:9">
      <c r="A446" t="s">
        <v>9</v>
      </c>
      <c r="B446" t="s">
        <v>10</v>
      </c>
      <c r="C446">
        <v>65</v>
      </c>
      <c r="D446" t="s">
        <v>11</v>
      </c>
      <c r="E446" t="s">
        <v>851</v>
      </c>
      <c r="F446" t="s">
        <v>852</v>
      </c>
      <c r="G446">
        <v>9150</v>
      </c>
      <c r="I446" t="s">
        <v>14</v>
      </c>
    </row>
    <row r="447" spans="1:9">
      <c r="A447" t="s">
        <v>9</v>
      </c>
      <c r="B447" t="s">
        <v>10</v>
      </c>
      <c r="C447">
        <v>65</v>
      </c>
      <c r="D447" t="s">
        <v>11</v>
      </c>
      <c r="E447" t="s">
        <v>853</v>
      </c>
      <c r="F447" t="s">
        <v>854</v>
      </c>
      <c r="G447">
        <v>18760</v>
      </c>
      <c r="I447" t="s">
        <v>14</v>
      </c>
    </row>
    <row r="448" spans="1:9">
      <c r="A448" t="s">
        <v>9</v>
      </c>
      <c r="B448" t="s">
        <v>10</v>
      </c>
      <c r="C448">
        <v>65</v>
      </c>
      <c r="D448" t="s">
        <v>11</v>
      </c>
      <c r="E448" t="s">
        <v>855</v>
      </c>
      <c r="F448" t="s">
        <v>856</v>
      </c>
      <c r="G448">
        <v>312560</v>
      </c>
      <c r="I448" t="s">
        <v>14</v>
      </c>
    </row>
    <row r="449" spans="1:9">
      <c r="A449" t="s">
        <v>9</v>
      </c>
      <c r="B449" t="s">
        <v>10</v>
      </c>
      <c r="C449">
        <v>65</v>
      </c>
      <c r="D449" t="s">
        <v>11</v>
      </c>
      <c r="E449" t="s">
        <v>857</v>
      </c>
      <c r="F449" t="s">
        <v>858</v>
      </c>
      <c r="G449">
        <v>101940</v>
      </c>
      <c r="I449" t="s">
        <v>14</v>
      </c>
    </row>
    <row r="450" spans="1:9">
      <c r="A450" t="s">
        <v>9</v>
      </c>
      <c r="B450" t="s">
        <v>10</v>
      </c>
      <c r="C450">
        <v>65</v>
      </c>
      <c r="D450" t="s">
        <v>11</v>
      </c>
      <c r="E450" t="s">
        <v>859</v>
      </c>
      <c r="F450" t="s">
        <v>860</v>
      </c>
      <c r="G450">
        <v>322740</v>
      </c>
      <c r="I450" t="s">
        <v>14</v>
      </c>
    </row>
    <row r="451" spans="1:9">
      <c r="A451" t="s">
        <v>9</v>
      </c>
      <c r="B451" t="s">
        <v>10</v>
      </c>
      <c r="C451">
        <v>65</v>
      </c>
      <c r="D451" t="s">
        <v>11</v>
      </c>
      <c r="E451" t="s">
        <v>861</v>
      </c>
      <c r="F451" t="s">
        <v>862</v>
      </c>
      <c r="G451">
        <v>424840</v>
      </c>
      <c r="I451" t="s">
        <v>14</v>
      </c>
    </row>
    <row r="452" spans="1:9">
      <c r="A452" t="s">
        <v>9</v>
      </c>
      <c r="B452" t="s">
        <v>10</v>
      </c>
      <c r="C452">
        <v>65</v>
      </c>
      <c r="D452" t="s">
        <v>11</v>
      </c>
      <c r="E452" t="s">
        <v>863</v>
      </c>
      <c r="F452" t="s">
        <v>864</v>
      </c>
      <c r="G452">
        <v>422380</v>
      </c>
      <c r="I452" t="s">
        <v>14</v>
      </c>
    </row>
    <row r="453" spans="1:9">
      <c r="A453" t="s">
        <v>9</v>
      </c>
      <c r="B453" t="s">
        <v>10</v>
      </c>
      <c r="C453">
        <v>65</v>
      </c>
      <c r="D453" t="s">
        <v>11</v>
      </c>
      <c r="E453" t="s">
        <v>865</v>
      </c>
      <c r="F453" t="s">
        <v>866</v>
      </c>
      <c r="G453">
        <v>720160</v>
      </c>
      <c r="I453" t="s">
        <v>14</v>
      </c>
    </row>
    <row r="454" spans="1:9">
      <c r="A454" t="s">
        <v>9</v>
      </c>
      <c r="B454" t="s">
        <v>10</v>
      </c>
      <c r="C454">
        <v>65</v>
      </c>
      <c r="D454" t="s">
        <v>11</v>
      </c>
      <c r="E454" t="s">
        <v>867</v>
      </c>
      <c r="F454" t="s">
        <v>868</v>
      </c>
      <c r="G454">
        <v>711600</v>
      </c>
      <c r="I454" t="s">
        <v>14</v>
      </c>
    </row>
    <row r="455" spans="1:9">
      <c r="A455" t="s">
        <v>9</v>
      </c>
      <c r="B455" t="s">
        <v>10</v>
      </c>
      <c r="C455">
        <v>65</v>
      </c>
      <c r="D455" t="s">
        <v>11</v>
      </c>
      <c r="E455" t="s">
        <v>869</v>
      </c>
      <c r="F455" t="s">
        <v>870</v>
      </c>
      <c r="G455">
        <v>305190</v>
      </c>
      <c r="I455" t="s">
        <v>14</v>
      </c>
    </row>
    <row r="456" spans="1:9">
      <c r="A456" t="s">
        <v>9</v>
      </c>
      <c r="B456" t="s">
        <v>10</v>
      </c>
      <c r="C456">
        <v>65</v>
      </c>
      <c r="D456" t="s">
        <v>11</v>
      </c>
      <c r="E456" t="s">
        <v>871</v>
      </c>
      <c r="F456" t="s">
        <v>872</v>
      </c>
      <c r="G456">
        <v>55470</v>
      </c>
      <c r="I456" t="s">
        <v>14</v>
      </c>
    </row>
    <row r="457" spans="1:9">
      <c r="A457" t="s">
        <v>9</v>
      </c>
      <c r="B457" t="s">
        <v>10</v>
      </c>
      <c r="C457">
        <v>65</v>
      </c>
      <c r="D457" t="s">
        <v>11</v>
      </c>
      <c r="E457" t="s">
        <v>873</v>
      </c>
      <c r="F457" t="s">
        <v>874</v>
      </c>
      <c r="G457">
        <v>19540</v>
      </c>
      <c r="I457" t="s">
        <v>14</v>
      </c>
    </row>
    <row r="458" spans="1:9">
      <c r="A458" t="s">
        <v>9</v>
      </c>
      <c r="B458" t="s">
        <v>10</v>
      </c>
      <c r="C458">
        <v>65</v>
      </c>
      <c r="D458" t="s">
        <v>11</v>
      </c>
      <c r="E458" t="s">
        <v>875</v>
      </c>
      <c r="F458" t="s">
        <v>876</v>
      </c>
      <c r="G458">
        <v>40250</v>
      </c>
      <c r="I458" t="s">
        <v>14</v>
      </c>
    </row>
    <row r="459" spans="1:9">
      <c r="A459" t="s">
        <v>9</v>
      </c>
      <c r="B459" t="s">
        <v>10</v>
      </c>
      <c r="C459">
        <v>65</v>
      </c>
      <c r="D459" t="s">
        <v>11</v>
      </c>
      <c r="E459" t="s">
        <v>877</v>
      </c>
      <c r="F459" t="s">
        <v>878</v>
      </c>
      <c r="G459">
        <v>43490</v>
      </c>
      <c r="I459" t="s">
        <v>14</v>
      </c>
    </row>
    <row r="460" spans="1:9">
      <c r="A460" t="s">
        <v>9</v>
      </c>
      <c r="B460" t="s">
        <v>10</v>
      </c>
      <c r="C460">
        <v>65</v>
      </c>
      <c r="D460" t="s">
        <v>11</v>
      </c>
      <c r="E460" t="s">
        <v>879</v>
      </c>
      <c r="F460" t="s">
        <v>880</v>
      </c>
      <c r="G460">
        <v>36720</v>
      </c>
      <c r="I460" t="s">
        <v>14</v>
      </c>
    </row>
    <row r="461" spans="1:9">
      <c r="A461" t="s">
        <v>9</v>
      </c>
      <c r="B461" t="s">
        <v>10</v>
      </c>
      <c r="C461">
        <v>65</v>
      </c>
      <c r="D461" t="s">
        <v>11</v>
      </c>
      <c r="E461" t="s">
        <v>881</v>
      </c>
      <c r="F461" t="s">
        <v>882</v>
      </c>
      <c r="G461">
        <v>42590</v>
      </c>
      <c r="I461" t="s">
        <v>14</v>
      </c>
    </row>
    <row r="462" spans="1:9">
      <c r="A462" t="s">
        <v>9</v>
      </c>
      <c r="B462" t="s">
        <v>10</v>
      </c>
      <c r="C462">
        <v>65</v>
      </c>
      <c r="D462" t="s">
        <v>11</v>
      </c>
      <c r="E462" t="s">
        <v>883</v>
      </c>
      <c r="F462" t="s">
        <v>884</v>
      </c>
      <c r="G462">
        <v>59920</v>
      </c>
      <c r="I462" t="s">
        <v>14</v>
      </c>
    </row>
    <row r="463" spans="1:9">
      <c r="A463" t="s">
        <v>9</v>
      </c>
      <c r="B463" t="s">
        <v>10</v>
      </c>
      <c r="C463">
        <v>65</v>
      </c>
      <c r="D463" t="s">
        <v>11</v>
      </c>
      <c r="E463" t="s">
        <v>885</v>
      </c>
      <c r="F463" t="s">
        <v>886</v>
      </c>
      <c r="G463">
        <v>144110</v>
      </c>
      <c r="I463" t="s">
        <v>14</v>
      </c>
    </row>
    <row r="464" spans="1:9">
      <c r="A464" t="s">
        <v>9</v>
      </c>
      <c r="B464" t="s">
        <v>10</v>
      </c>
      <c r="C464">
        <v>65</v>
      </c>
      <c r="D464" t="s">
        <v>11</v>
      </c>
      <c r="E464" t="s">
        <v>887</v>
      </c>
      <c r="F464" t="s">
        <v>888</v>
      </c>
      <c r="G464">
        <v>281900</v>
      </c>
      <c r="I464" t="s">
        <v>14</v>
      </c>
    </row>
    <row r="465" spans="1:9">
      <c r="A465" t="s">
        <v>9</v>
      </c>
      <c r="B465" t="s">
        <v>10</v>
      </c>
      <c r="C465">
        <v>65</v>
      </c>
      <c r="D465" t="s">
        <v>11</v>
      </c>
      <c r="E465" t="s">
        <v>889</v>
      </c>
      <c r="F465" t="s">
        <v>890</v>
      </c>
      <c r="G465">
        <v>216040</v>
      </c>
      <c r="I465" t="s">
        <v>14</v>
      </c>
    </row>
    <row r="466" spans="1:9">
      <c r="A466" t="s">
        <v>9</v>
      </c>
      <c r="B466" t="s">
        <v>10</v>
      </c>
      <c r="C466">
        <v>65</v>
      </c>
      <c r="D466" t="s">
        <v>11</v>
      </c>
      <c r="E466" t="s">
        <v>891</v>
      </c>
      <c r="F466" t="s">
        <v>892</v>
      </c>
      <c r="G466">
        <v>74340</v>
      </c>
      <c r="I466" t="s">
        <v>14</v>
      </c>
    </row>
    <row r="467" spans="1:9">
      <c r="A467" t="s">
        <v>9</v>
      </c>
      <c r="B467" t="s">
        <v>10</v>
      </c>
      <c r="C467">
        <v>65</v>
      </c>
      <c r="D467" t="s">
        <v>11</v>
      </c>
      <c r="E467" t="s">
        <v>893</v>
      </c>
      <c r="F467" t="s">
        <v>894</v>
      </c>
      <c r="G467">
        <v>17340</v>
      </c>
      <c r="I467" t="s">
        <v>14</v>
      </c>
    </row>
    <row r="468" spans="1:9">
      <c r="A468" t="s">
        <v>9</v>
      </c>
      <c r="B468" t="s">
        <v>10</v>
      </c>
      <c r="C468">
        <v>65</v>
      </c>
      <c r="D468" t="s">
        <v>11</v>
      </c>
      <c r="E468" t="s">
        <v>895</v>
      </c>
      <c r="F468" t="s">
        <v>896</v>
      </c>
      <c r="G468">
        <v>7480</v>
      </c>
      <c r="I468" t="s">
        <v>14</v>
      </c>
    </row>
    <row r="469" spans="1:9">
      <c r="A469" t="s">
        <v>9</v>
      </c>
      <c r="B469" t="s">
        <v>10</v>
      </c>
      <c r="C469">
        <v>65</v>
      </c>
      <c r="D469" t="s">
        <v>11</v>
      </c>
      <c r="E469" t="s">
        <v>897</v>
      </c>
      <c r="F469" t="s">
        <v>898</v>
      </c>
      <c r="G469">
        <v>16830</v>
      </c>
      <c r="I469" t="s">
        <v>14</v>
      </c>
    </row>
    <row r="470" spans="1:9">
      <c r="A470" t="s">
        <v>9</v>
      </c>
      <c r="B470" t="s">
        <v>10</v>
      </c>
      <c r="C470">
        <v>65</v>
      </c>
      <c r="D470" t="s">
        <v>11</v>
      </c>
      <c r="E470" t="s">
        <v>899</v>
      </c>
      <c r="F470" t="s">
        <v>900</v>
      </c>
      <c r="G470">
        <v>44940</v>
      </c>
      <c r="I470" t="s">
        <v>14</v>
      </c>
    </row>
    <row r="471" spans="1:9">
      <c r="A471" t="s">
        <v>9</v>
      </c>
      <c r="B471" t="s">
        <v>10</v>
      </c>
      <c r="C471">
        <v>65</v>
      </c>
      <c r="D471" t="s">
        <v>11</v>
      </c>
      <c r="E471" t="s">
        <v>901</v>
      </c>
      <c r="F471" t="s">
        <v>902</v>
      </c>
      <c r="G471">
        <v>16620</v>
      </c>
      <c r="I471" t="s">
        <v>14</v>
      </c>
    </row>
    <row r="472" spans="1:9">
      <c r="A472" t="s">
        <v>9</v>
      </c>
      <c r="B472" t="s">
        <v>10</v>
      </c>
      <c r="C472">
        <v>65</v>
      </c>
      <c r="D472" t="s">
        <v>11</v>
      </c>
      <c r="E472" t="s">
        <v>903</v>
      </c>
      <c r="F472" t="s">
        <v>904</v>
      </c>
      <c r="G472">
        <v>20250</v>
      </c>
      <c r="I472" t="s">
        <v>14</v>
      </c>
    </row>
    <row r="473" spans="1:9">
      <c r="A473" t="s">
        <v>9</v>
      </c>
      <c r="B473" t="s">
        <v>10</v>
      </c>
      <c r="C473">
        <v>65</v>
      </c>
      <c r="D473" t="s">
        <v>11</v>
      </c>
      <c r="E473" t="s">
        <v>905</v>
      </c>
      <c r="F473" t="s">
        <v>906</v>
      </c>
      <c r="G473">
        <v>226490</v>
      </c>
      <c r="I473" t="s">
        <v>14</v>
      </c>
    </row>
    <row r="474" spans="1:9">
      <c r="A474" t="s">
        <v>9</v>
      </c>
      <c r="B474" t="s">
        <v>10</v>
      </c>
      <c r="C474">
        <v>65</v>
      </c>
      <c r="D474" t="s">
        <v>11</v>
      </c>
      <c r="E474" t="s">
        <v>907</v>
      </c>
      <c r="F474" t="s">
        <v>908</v>
      </c>
      <c r="G474">
        <v>250000</v>
      </c>
      <c r="I474" t="s">
        <v>14</v>
      </c>
    </row>
    <row r="475" spans="1:9">
      <c r="A475" t="s">
        <v>9</v>
      </c>
      <c r="B475" t="s">
        <v>10</v>
      </c>
      <c r="C475">
        <v>65</v>
      </c>
      <c r="D475" t="s">
        <v>11</v>
      </c>
      <c r="E475" t="s">
        <v>909</v>
      </c>
      <c r="F475" t="s">
        <v>910</v>
      </c>
      <c r="G475">
        <v>344140</v>
      </c>
      <c r="I475" t="s">
        <v>14</v>
      </c>
    </row>
    <row r="476" spans="1:9">
      <c r="A476" t="s">
        <v>9</v>
      </c>
      <c r="B476" t="s">
        <v>10</v>
      </c>
      <c r="C476">
        <v>65</v>
      </c>
      <c r="D476" t="s">
        <v>11</v>
      </c>
      <c r="E476" t="s">
        <v>911</v>
      </c>
      <c r="F476" t="s">
        <v>912</v>
      </c>
      <c r="G476">
        <v>324860</v>
      </c>
      <c r="I476" t="s">
        <v>14</v>
      </c>
    </row>
    <row r="477" spans="1:9">
      <c r="A477" t="s">
        <v>9</v>
      </c>
      <c r="B477" t="s">
        <v>10</v>
      </c>
      <c r="C477">
        <v>65</v>
      </c>
      <c r="D477" t="s">
        <v>11</v>
      </c>
      <c r="E477" t="s">
        <v>913</v>
      </c>
      <c r="F477" t="s">
        <v>914</v>
      </c>
      <c r="G477">
        <v>571100</v>
      </c>
      <c r="I477" t="s">
        <v>14</v>
      </c>
    </row>
    <row r="478" spans="1:9">
      <c r="A478" t="s">
        <v>9</v>
      </c>
      <c r="B478" t="s">
        <v>10</v>
      </c>
      <c r="C478">
        <v>65</v>
      </c>
      <c r="D478" t="s">
        <v>11</v>
      </c>
      <c r="E478" t="s">
        <v>915</v>
      </c>
      <c r="F478" t="s">
        <v>916</v>
      </c>
      <c r="G478">
        <v>347500</v>
      </c>
      <c r="I478" t="s">
        <v>14</v>
      </c>
    </row>
    <row r="479" spans="1:9">
      <c r="A479" t="s">
        <v>9</v>
      </c>
      <c r="B479" t="s">
        <v>10</v>
      </c>
      <c r="C479">
        <v>65</v>
      </c>
      <c r="D479" t="s">
        <v>11</v>
      </c>
      <c r="E479" t="s">
        <v>917</v>
      </c>
      <c r="F479" t="s">
        <v>918</v>
      </c>
      <c r="G479">
        <v>54160</v>
      </c>
      <c r="I479" t="s">
        <v>14</v>
      </c>
    </row>
    <row r="480" spans="1:9">
      <c r="A480" t="s">
        <v>9</v>
      </c>
      <c r="B480" t="s">
        <v>10</v>
      </c>
      <c r="C480">
        <v>65</v>
      </c>
      <c r="D480" t="s">
        <v>11</v>
      </c>
      <c r="E480" t="s">
        <v>919</v>
      </c>
      <c r="F480" t="s">
        <v>920</v>
      </c>
      <c r="G480">
        <v>10760</v>
      </c>
      <c r="I480" t="s">
        <v>14</v>
      </c>
    </row>
    <row r="481" spans="1:9">
      <c r="A481" t="s">
        <v>9</v>
      </c>
      <c r="B481" t="s">
        <v>10</v>
      </c>
      <c r="C481">
        <v>65</v>
      </c>
      <c r="D481" t="s">
        <v>11</v>
      </c>
      <c r="E481" t="s">
        <v>921</v>
      </c>
      <c r="F481" t="s">
        <v>922</v>
      </c>
      <c r="G481">
        <v>2020</v>
      </c>
      <c r="I481" t="s">
        <v>14</v>
      </c>
    </row>
    <row r="482" spans="1:9">
      <c r="A482" t="s">
        <v>9</v>
      </c>
      <c r="B482" t="s">
        <v>10</v>
      </c>
      <c r="C482">
        <v>65</v>
      </c>
      <c r="D482" t="s">
        <v>11</v>
      </c>
      <c r="E482" t="s">
        <v>923</v>
      </c>
      <c r="F482" t="s">
        <v>924</v>
      </c>
      <c r="G482">
        <v>11310</v>
      </c>
      <c r="I482" t="s">
        <v>14</v>
      </c>
    </row>
    <row r="483" spans="1:9">
      <c r="A483" t="s">
        <v>9</v>
      </c>
      <c r="B483" t="s">
        <v>10</v>
      </c>
      <c r="C483">
        <v>65</v>
      </c>
      <c r="D483" t="s">
        <v>11</v>
      </c>
      <c r="E483" t="s">
        <v>925</v>
      </c>
      <c r="F483" t="s">
        <v>926</v>
      </c>
      <c r="G483">
        <v>15010</v>
      </c>
      <c r="I483" t="s">
        <v>14</v>
      </c>
    </row>
    <row r="484" spans="1:9">
      <c r="A484" t="s">
        <v>9</v>
      </c>
      <c r="B484" t="s">
        <v>10</v>
      </c>
      <c r="C484">
        <v>65</v>
      </c>
      <c r="D484" t="s">
        <v>11</v>
      </c>
      <c r="E484" t="s">
        <v>927</v>
      </c>
      <c r="F484" t="s">
        <v>928</v>
      </c>
      <c r="G484">
        <v>129060</v>
      </c>
      <c r="I484" t="s">
        <v>14</v>
      </c>
    </row>
    <row r="485" spans="1:9">
      <c r="A485" t="s">
        <v>9</v>
      </c>
      <c r="B485" t="s">
        <v>10</v>
      </c>
      <c r="C485">
        <v>65</v>
      </c>
      <c r="D485" t="s">
        <v>11</v>
      </c>
      <c r="E485" t="s">
        <v>929</v>
      </c>
      <c r="F485" t="s">
        <v>930</v>
      </c>
      <c r="G485">
        <v>115450</v>
      </c>
      <c r="I485" t="s">
        <v>14</v>
      </c>
    </row>
    <row r="486" spans="1:9">
      <c r="A486" t="s">
        <v>9</v>
      </c>
      <c r="B486" t="s">
        <v>10</v>
      </c>
      <c r="C486">
        <v>65</v>
      </c>
      <c r="D486" t="s">
        <v>11</v>
      </c>
      <c r="E486" t="s">
        <v>931</v>
      </c>
      <c r="F486" t="s">
        <v>932</v>
      </c>
      <c r="G486">
        <v>219000</v>
      </c>
      <c r="I486" t="s">
        <v>14</v>
      </c>
    </row>
    <row r="487" spans="1:9">
      <c r="A487" t="s">
        <v>9</v>
      </c>
      <c r="B487" t="s">
        <v>10</v>
      </c>
      <c r="C487">
        <v>65</v>
      </c>
      <c r="D487" t="s">
        <v>11</v>
      </c>
      <c r="E487" t="s">
        <v>933</v>
      </c>
      <c r="F487" t="s">
        <v>934</v>
      </c>
      <c r="G487">
        <v>260080</v>
      </c>
      <c r="I487" t="s">
        <v>14</v>
      </c>
    </row>
    <row r="488" spans="1:9">
      <c r="A488" t="s">
        <v>9</v>
      </c>
      <c r="B488" t="s">
        <v>10</v>
      </c>
      <c r="C488">
        <v>65</v>
      </c>
      <c r="D488" t="s">
        <v>11</v>
      </c>
      <c r="E488" t="s">
        <v>935</v>
      </c>
      <c r="F488" t="s">
        <v>936</v>
      </c>
      <c r="G488">
        <v>279590</v>
      </c>
      <c r="I488" t="s">
        <v>14</v>
      </c>
    </row>
    <row r="489" spans="1:9">
      <c r="A489" t="s">
        <v>9</v>
      </c>
      <c r="B489" t="s">
        <v>10</v>
      </c>
      <c r="C489">
        <v>65</v>
      </c>
      <c r="D489" t="s">
        <v>11</v>
      </c>
      <c r="E489" t="s">
        <v>937</v>
      </c>
      <c r="F489" t="s">
        <v>938</v>
      </c>
      <c r="G489">
        <v>662680</v>
      </c>
      <c r="I489" t="s">
        <v>14</v>
      </c>
    </row>
    <row r="490" spans="1:9">
      <c r="A490" t="s">
        <v>9</v>
      </c>
      <c r="B490" t="s">
        <v>10</v>
      </c>
      <c r="C490">
        <v>65</v>
      </c>
      <c r="D490" t="s">
        <v>11</v>
      </c>
      <c r="E490" t="s">
        <v>939</v>
      </c>
      <c r="F490" t="s">
        <v>940</v>
      </c>
      <c r="G490">
        <v>534440</v>
      </c>
      <c r="I490" t="s">
        <v>14</v>
      </c>
    </row>
    <row r="491" spans="1:9">
      <c r="A491" t="s">
        <v>9</v>
      </c>
      <c r="B491" t="s">
        <v>10</v>
      </c>
      <c r="C491">
        <v>65</v>
      </c>
      <c r="D491" t="s">
        <v>11</v>
      </c>
      <c r="E491" t="s">
        <v>941</v>
      </c>
      <c r="F491" t="s">
        <v>942</v>
      </c>
      <c r="G491">
        <v>224060</v>
      </c>
      <c r="I491" t="s">
        <v>14</v>
      </c>
    </row>
    <row r="492" spans="1:9">
      <c r="A492" t="s">
        <v>9</v>
      </c>
      <c r="B492" t="s">
        <v>10</v>
      </c>
      <c r="C492">
        <v>65</v>
      </c>
      <c r="D492" t="s">
        <v>11</v>
      </c>
      <c r="E492" t="s">
        <v>943</v>
      </c>
      <c r="F492" t="s">
        <v>944</v>
      </c>
      <c r="G492">
        <v>30490</v>
      </c>
      <c r="I492" t="s">
        <v>14</v>
      </c>
    </row>
    <row r="493" spans="1:9">
      <c r="A493" t="s">
        <v>9</v>
      </c>
      <c r="B493" t="s">
        <v>10</v>
      </c>
      <c r="C493">
        <v>65</v>
      </c>
      <c r="D493" t="s">
        <v>11</v>
      </c>
      <c r="E493" t="s">
        <v>945</v>
      </c>
      <c r="F493" t="s">
        <v>946</v>
      </c>
      <c r="G493">
        <v>8190</v>
      </c>
      <c r="I493" t="s">
        <v>14</v>
      </c>
    </row>
    <row r="494" spans="1:9">
      <c r="A494" t="s">
        <v>9</v>
      </c>
      <c r="B494" t="s">
        <v>10</v>
      </c>
      <c r="C494">
        <v>65</v>
      </c>
      <c r="D494" t="s">
        <v>11</v>
      </c>
      <c r="E494" t="s">
        <v>947</v>
      </c>
      <c r="F494" t="s">
        <v>948</v>
      </c>
      <c r="G494">
        <v>7040</v>
      </c>
      <c r="I494" t="s">
        <v>14</v>
      </c>
    </row>
    <row r="495" spans="1:9">
      <c r="A495" t="s">
        <v>9</v>
      </c>
      <c r="B495" t="s">
        <v>10</v>
      </c>
      <c r="C495">
        <v>65</v>
      </c>
      <c r="D495" t="s">
        <v>11</v>
      </c>
      <c r="E495" t="s">
        <v>949</v>
      </c>
      <c r="F495" t="s">
        <v>950</v>
      </c>
      <c r="G495">
        <v>37560</v>
      </c>
      <c r="I495" t="s">
        <v>14</v>
      </c>
    </row>
    <row r="496" spans="1:9">
      <c r="A496" t="s">
        <v>9</v>
      </c>
      <c r="B496" t="s">
        <v>10</v>
      </c>
      <c r="C496">
        <v>65</v>
      </c>
      <c r="D496" t="s">
        <v>11</v>
      </c>
      <c r="E496" t="s">
        <v>951</v>
      </c>
      <c r="F496" t="s">
        <v>952</v>
      </c>
      <c r="G496">
        <v>161530</v>
      </c>
      <c r="I496" t="s">
        <v>14</v>
      </c>
    </row>
    <row r="497" spans="1:9">
      <c r="A497" t="s">
        <v>9</v>
      </c>
      <c r="B497" t="s">
        <v>10</v>
      </c>
      <c r="C497">
        <v>65</v>
      </c>
      <c r="D497" t="s">
        <v>11</v>
      </c>
      <c r="E497" t="s">
        <v>953</v>
      </c>
      <c r="F497" t="s">
        <v>954</v>
      </c>
      <c r="G497">
        <v>164810</v>
      </c>
      <c r="I497" t="s">
        <v>14</v>
      </c>
    </row>
    <row r="498" spans="1:9">
      <c r="A498" t="s">
        <v>9</v>
      </c>
      <c r="B498" t="s">
        <v>10</v>
      </c>
      <c r="C498">
        <v>65</v>
      </c>
      <c r="D498" t="s">
        <v>11</v>
      </c>
      <c r="E498" t="s">
        <v>955</v>
      </c>
      <c r="F498" t="s">
        <v>956</v>
      </c>
      <c r="G498">
        <v>142430</v>
      </c>
      <c r="I498" t="s">
        <v>14</v>
      </c>
    </row>
    <row r="499" spans="1:9">
      <c r="A499" t="s">
        <v>9</v>
      </c>
      <c r="B499" t="s">
        <v>10</v>
      </c>
      <c r="C499">
        <v>65</v>
      </c>
      <c r="D499" t="s">
        <v>11</v>
      </c>
      <c r="E499" t="s">
        <v>957</v>
      </c>
      <c r="F499" t="s">
        <v>958</v>
      </c>
      <c r="G499">
        <v>148710</v>
      </c>
      <c r="I499" t="s">
        <v>14</v>
      </c>
    </row>
    <row r="500" spans="1:9">
      <c r="A500" t="s">
        <v>9</v>
      </c>
      <c r="B500" t="s">
        <v>10</v>
      </c>
      <c r="C500">
        <v>65</v>
      </c>
      <c r="D500" t="s">
        <v>11</v>
      </c>
      <c r="E500" t="s">
        <v>959</v>
      </c>
      <c r="F500" t="s">
        <v>960</v>
      </c>
      <c r="G500">
        <v>336990</v>
      </c>
      <c r="I500" t="s">
        <v>14</v>
      </c>
    </row>
    <row r="501" spans="1:9">
      <c r="A501" t="s">
        <v>9</v>
      </c>
      <c r="B501" t="s">
        <v>10</v>
      </c>
      <c r="C501">
        <v>65</v>
      </c>
      <c r="D501" t="s">
        <v>11</v>
      </c>
      <c r="E501" t="s">
        <v>961</v>
      </c>
      <c r="F501" t="s">
        <v>962</v>
      </c>
      <c r="G501">
        <v>471990</v>
      </c>
      <c r="I501" t="s">
        <v>14</v>
      </c>
    </row>
    <row r="502" spans="1:9">
      <c r="A502" t="s">
        <v>9</v>
      </c>
      <c r="B502" t="s">
        <v>10</v>
      </c>
      <c r="C502">
        <v>65</v>
      </c>
      <c r="D502" t="s">
        <v>11</v>
      </c>
      <c r="E502" t="s">
        <v>963</v>
      </c>
      <c r="F502" t="s">
        <v>964</v>
      </c>
      <c r="G502">
        <v>597580</v>
      </c>
      <c r="I502" t="s">
        <v>14</v>
      </c>
    </row>
    <row r="503" spans="1:9">
      <c r="A503" t="s">
        <v>9</v>
      </c>
      <c r="B503" t="s">
        <v>10</v>
      </c>
      <c r="C503">
        <v>65</v>
      </c>
      <c r="D503" t="s">
        <v>11</v>
      </c>
      <c r="E503" t="s">
        <v>965</v>
      </c>
      <c r="F503" t="s">
        <v>966</v>
      </c>
      <c r="G503">
        <v>253440</v>
      </c>
      <c r="I503" t="s">
        <v>14</v>
      </c>
    </row>
    <row r="504" spans="1:9">
      <c r="A504" t="s">
        <v>9</v>
      </c>
      <c r="B504" t="s">
        <v>10</v>
      </c>
      <c r="C504">
        <v>65</v>
      </c>
      <c r="D504" t="s">
        <v>11</v>
      </c>
      <c r="E504" t="s">
        <v>967</v>
      </c>
      <c r="F504" t="s">
        <v>968</v>
      </c>
      <c r="G504">
        <v>30160</v>
      </c>
      <c r="I504" t="s">
        <v>14</v>
      </c>
    </row>
    <row r="505" spans="1:9">
      <c r="A505" t="s">
        <v>9</v>
      </c>
      <c r="B505" t="s">
        <v>10</v>
      </c>
      <c r="C505">
        <v>65</v>
      </c>
      <c r="D505" t="s">
        <v>11</v>
      </c>
      <c r="E505" t="s">
        <v>969</v>
      </c>
      <c r="F505" t="s">
        <v>970</v>
      </c>
      <c r="G505">
        <v>3280</v>
      </c>
      <c r="I505" t="s">
        <v>14</v>
      </c>
    </row>
    <row r="506" spans="1:9">
      <c r="A506" t="s">
        <v>9</v>
      </c>
      <c r="B506" t="s">
        <v>10</v>
      </c>
      <c r="C506">
        <v>65</v>
      </c>
      <c r="D506" t="s">
        <v>11</v>
      </c>
      <c r="E506" t="s">
        <v>971</v>
      </c>
      <c r="F506" t="s">
        <v>972</v>
      </c>
      <c r="G506">
        <v>5050</v>
      </c>
      <c r="I506" t="s">
        <v>14</v>
      </c>
    </row>
    <row r="507" spans="1:9">
      <c r="A507" t="s">
        <v>9</v>
      </c>
      <c r="B507" t="s">
        <v>10</v>
      </c>
      <c r="C507">
        <v>65</v>
      </c>
      <c r="D507" t="s">
        <v>11</v>
      </c>
      <c r="E507" t="s">
        <v>973</v>
      </c>
      <c r="F507" t="s">
        <v>974</v>
      </c>
      <c r="G507">
        <v>86410</v>
      </c>
      <c r="I507" t="s">
        <v>14</v>
      </c>
    </row>
    <row r="508" spans="1:9">
      <c r="A508" t="s">
        <v>9</v>
      </c>
      <c r="B508" t="s">
        <v>10</v>
      </c>
      <c r="C508">
        <v>65</v>
      </c>
      <c r="D508" t="s">
        <v>11</v>
      </c>
      <c r="E508" t="s">
        <v>975</v>
      </c>
      <c r="F508" t="s">
        <v>976</v>
      </c>
      <c r="G508">
        <v>92850</v>
      </c>
      <c r="I508" t="s">
        <v>14</v>
      </c>
    </row>
    <row r="509" spans="1:9">
      <c r="A509" t="s">
        <v>9</v>
      </c>
      <c r="B509" t="s">
        <v>10</v>
      </c>
      <c r="C509">
        <v>65</v>
      </c>
      <c r="D509" t="s">
        <v>11</v>
      </c>
      <c r="E509" t="s">
        <v>977</v>
      </c>
      <c r="F509" t="s">
        <v>978</v>
      </c>
      <c r="G509">
        <v>246320</v>
      </c>
      <c r="I509" t="s">
        <v>14</v>
      </c>
    </row>
    <row r="510" spans="1:9">
      <c r="A510" t="s">
        <v>9</v>
      </c>
      <c r="B510" t="s">
        <v>10</v>
      </c>
      <c r="C510">
        <v>65</v>
      </c>
      <c r="D510" t="s">
        <v>11</v>
      </c>
      <c r="E510" t="s">
        <v>979</v>
      </c>
      <c r="F510" t="s">
        <v>980</v>
      </c>
      <c r="G510">
        <v>163760</v>
      </c>
      <c r="I510" t="s">
        <v>14</v>
      </c>
    </row>
    <row r="511" spans="1:9">
      <c r="A511" t="s">
        <v>9</v>
      </c>
      <c r="B511" t="s">
        <v>10</v>
      </c>
      <c r="C511">
        <v>65</v>
      </c>
      <c r="D511" t="s">
        <v>11</v>
      </c>
      <c r="E511" t="s">
        <v>981</v>
      </c>
      <c r="F511" t="s">
        <v>982</v>
      </c>
      <c r="G511">
        <v>371920</v>
      </c>
      <c r="I511" t="s">
        <v>14</v>
      </c>
    </row>
    <row r="512" spans="1:9">
      <c r="A512" t="s">
        <v>9</v>
      </c>
      <c r="B512" t="s">
        <v>10</v>
      </c>
      <c r="C512">
        <v>65</v>
      </c>
      <c r="D512" t="s">
        <v>11</v>
      </c>
      <c r="E512" t="s">
        <v>983</v>
      </c>
      <c r="F512" t="s">
        <v>984</v>
      </c>
      <c r="G512">
        <v>385170</v>
      </c>
      <c r="I512" t="s">
        <v>14</v>
      </c>
    </row>
    <row r="513" spans="1:9">
      <c r="A513" t="s">
        <v>9</v>
      </c>
      <c r="B513" t="s">
        <v>10</v>
      </c>
      <c r="C513">
        <v>65</v>
      </c>
      <c r="D513" t="s">
        <v>11</v>
      </c>
      <c r="E513" t="s">
        <v>985</v>
      </c>
      <c r="F513" t="s">
        <v>986</v>
      </c>
      <c r="G513">
        <v>494530</v>
      </c>
      <c r="I513" t="s">
        <v>14</v>
      </c>
    </row>
    <row r="514" spans="1:9">
      <c r="A514" t="s">
        <v>9</v>
      </c>
      <c r="B514" t="s">
        <v>10</v>
      </c>
      <c r="C514">
        <v>65</v>
      </c>
      <c r="D514" t="s">
        <v>11</v>
      </c>
      <c r="E514" t="s">
        <v>987</v>
      </c>
      <c r="F514" t="s">
        <v>988</v>
      </c>
      <c r="G514">
        <v>352890</v>
      </c>
      <c r="I514" t="s">
        <v>14</v>
      </c>
    </row>
    <row r="515" spans="1:9">
      <c r="A515" t="s">
        <v>9</v>
      </c>
      <c r="B515" t="s">
        <v>10</v>
      </c>
      <c r="C515">
        <v>65</v>
      </c>
      <c r="D515" t="s">
        <v>11</v>
      </c>
      <c r="E515" t="s">
        <v>989</v>
      </c>
      <c r="F515" t="s">
        <v>990</v>
      </c>
      <c r="G515">
        <v>140900</v>
      </c>
      <c r="I515" t="s">
        <v>14</v>
      </c>
    </row>
    <row r="516" spans="1:9">
      <c r="A516" t="s">
        <v>9</v>
      </c>
      <c r="B516" t="s">
        <v>10</v>
      </c>
      <c r="C516">
        <v>65</v>
      </c>
      <c r="D516" t="s">
        <v>11</v>
      </c>
      <c r="E516" t="s">
        <v>991</v>
      </c>
      <c r="F516" t="s">
        <v>992</v>
      </c>
      <c r="G516">
        <v>24800</v>
      </c>
      <c r="I516" t="s">
        <v>14</v>
      </c>
    </row>
    <row r="517" spans="1:9">
      <c r="A517" t="s">
        <v>9</v>
      </c>
      <c r="B517" t="s">
        <v>10</v>
      </c>
      <c r="C517">
        <v>65</v>
      </c>
      <c r="D517" t="s">
        <v>11</v>
      </c>
      <c r="E517" t="s">
        <v>993</v>
      </c>
      <c r="F517" t="s">
        <v>994</v>
      </c>
      <c r="G517">
        <v>5210</v>
      </c>
      <c r="I517" t="s">
        <v>14</v>
      </c>
    </row>
    <row r="518" spans="1:9">
      <c r="A518" t="s">
        <v>9</v>
      </c>
      <c r="B518" t="s">
        <v>10</v>
      </c>
      <c r="C518">
        <v>65</v>
      </c>
      <c r="D518" t="s">
        <v>11</v>
      </c>
      <c r="E518" t="s">
        <v>995</v>
      </c>
      <c r="F518" t="s">
        <v>996</v>
      </c>
      <c r="G518">
        <v>11600</v>
      </c>
      <c r="I518" t="s">
        <v>14</v>
      </c>
    </row>
    <row r="519" spans="1:9">
      <c r="A519" t="s">
        <v>9</v>
      </c>
      <c r="B519" t="s">
        <v>10</v>
      </c>
      <c r="C519">
        <v>65</v>
      </c>
      <c r="D519" t="s">
        <v>11</v>
      </c>
      <c r="E519" t="s">
        <v>997</v>
      </c>
      <c r="F519" t="s">
        <v>998</v>
      </c>
      <c r="G519">
        <v>15630</v>
      </c>
      <c r="I519" t="s">
        <v>14</v>
      </c>
    </row>
    <row r="520" spans="1:9">
      <c r="A520" t="s">
        <v>9</v>
      </c>
      <c r="B520" t="s">
        <v>10</v>
      </c>
      <c r="C520">
        <v>65</v>
      </c>
      <c r="D520" t="s">
        <v>11</v>
      </c>
      <c r="E520" t="s">
        <v>999</v>
      </c>
      <c r="F520" t="s">
        <v>1000</v>
      </c>
      <c r="G520">
        <v>20930</v>
      </c>
      <c r="I520" t="s">
        <v>14</v>
      </c>
    </row>
    <row r="521" spans="1:9">
      <c r="A521" t="s">
        <v>9</v>
      </c>
      <c r="B521" t="s">
        <v>10</v>
      </c>
      <c r="C521">
        <v>65</v>
      </c>
      <c r="D521" t="s">
        <v>11</v>
      </c>
      <c r="E521" t="s">
        <v>1001</v>
      </c>
      <c r="F521" t="s">
        <v>1002</v>
      </c>
      <c r="G521">
        <v>42730</v>
      </c>
      <c r="I521" t="s">
        <v>14</v>
      </c>
    </row>
    <row r="522" spans="1:9">
      <c r="A522" t="s">
        <v>9</v>
      </c>
      <c r="B522" t="s">
        <v>10</v>
      </c>
      <c r="C522">
        <v>65</v>
      </c>
      <c r="D522" t="s">
        <v>11</v>
      </c>
      <c r="E522" t="s">
        <v>1003</v>
      </c>
      <c r="F522" t="s">
        <v>1004</v>
      </c>
      <c r="G522">
        <v>80410</v>
      </c>
      <c r="I522" t="s">
        <v>14</v>
      </c>
    </row>
    <row r="523" spans="1:9">
      <c r="A523" t="s">
        <v>9</v>
      </c>
      <c r="B523" t="s">
        <v>10</v>
      </c>
      <c r="C523">
        <v>65</v>
      </c>
      <c r="D523" t="s">
        <v>11</v>
      </c>
      <c r="E523" t="s">
        <v>1005</v>
      </c>
      <c r="F523" t="s">
        <v>1006</v>
      </c>
      <c r="G523">
        <v>135220</v>
      </c>
      <c r="I523" t="s">
        <v>14</v>
      </c>
    </row>
    <row r="524" spans="1:9">
      <c r="A524" t="s">
        <v>9</v>
      </c>
      <c r="B524" t="s">
        <v>10</v>
      </c>
      <c r="C524">
        <v>65</v>
      </c>
      <c r="D524" t="s">
        <v>11</v>
      </c>
      <c r="E524" t="s">
        <v>1007</v>
      </c>
      <c r="F524" t="s">
        <v>1008</v>
      </c>
      <c r="G524">
        <v>164620</v>
      </c>
      <c r="I524" t="s">
        <v>14</v>
      </c>
    </row>
    <row r="525" spans="1:9">
      <c r="A525" t="s">
        <v>9</v>
      </c>
      <c r="B525" t="s">
        <v>10</v>
      </c>
      <c r="C525">
        <v>65</v>
      </c>
      <c r="D525" t="s">
        <v>11</v>
      </c>
      <c r="E525" t="s">
        <v>1009</v>
      </c>
      <c r="F525" t="s">
        <v>1010</v>
      </c>
      <c r="G525">
        <v>455800</v>
      </c>
      <c r="I525" t="s">
        <v>14</v>
      </c>
    </row>
    <row r="526" spans="1:9">
      <c r="A526" t="s">
        <v>9</v>
      </c>
      <c r="B526" t="s">
        <v>10</v>
      </c>
      <c r="C526">
        <v>65</v>
      </c>
      <c r="D526" t="s">
        <v>11</v>
      </c>
      <c r="E526" t="s">
        <v>1011</v>
      </c>
      <c r="F526" t="s">
        <v>1012</v>
      </c>
      <c r="G526">
        <v>267180</v>
      </c>
      <c r="I526" t="s">
        <v>14</v>
      </c>
    </row>
    <row r="527" spans="1:9">
      <c r="A527" t="s">
        <v>9</v>
      </c>
      <c r="B527" t="s">
        <v>10</v>
      </c>
      <c r="C527">
        <v>65</v>
      </c>
      <c r="D527" t="s">
        <v>11</v>
      </c>
      <c r="E527" t="s">
        <v>1013</v>
      </c>
      <c r="F527" t="s">
        <v>1014</v>
      </c>
      <c r="G527">
        <v>87630</v>
      </c>
      <c r="I527" t="s">
        <v>14</v>
      </c>
    </row>
    <row r="528" spans="1:9">
      <c r="A528" t="s">
        <v>9</v>
      </c>
      <c r="B528" t="s">
        <v>10</v>
      </c>
      <c r="C528">
        <v>65</v>
      </c>
      <c r="D528" t="s">
        <v>11</v>
      </c>
      <c r="E528" t="s">
        <v>1015</v>
      </c>
      <c r="F528" t="s">
        <v>1016</v>
      </c>
      <c r="G528">
        <v>11200</v>
      </c>
      <c r="I528" t="s">
        <v>14</v>
      </c>
    </row>
    <row r="529" spans="1:9">
      <c r="A529" t="s">
        <v>9</v>
      </c>
      <c r="B529" t="s">
        <v>10</v>
      </c>
      <c r="C529">
        <v>65</v>
      </c>
      <c r="D529" t="s">
        <v>11</v>
      </c>
      <c r="E529" t="s">
        <v>1017</v>
      </c>
      <c r="F529" t="s">
        <v>1018</v>
      </c>
      <c r="G529">
        <v>2360</v>
      </c>
      <c r="I529" t="s">
        <v>14</v>
      </c>
    </row>
    <row r="530" spans="1:9">
      <c r="A530" t="s">
        <v>9</v>
      </c>
      <c r="B530" t="s">
        <v>10</v>
      </c>
      <c r="C530">
        <v>65</v>
      </c>
      <c r="D530" t="s">
        <v>11</v>
      </c>
      <c r="E530" t="s">
        <v>1019</v>
      </c>
      <c r="F530" t="s">
        <v>1020</v>
      </c>
      <c r="G530">
        <v>9120</v>
      </c>
      <c r="I530" t="s">
        <v>14</v>
      </c>
    </row>
    <row r="531" spans="1:9">
      <c r="A531" t="s">
        <v>9</v>
      </c>
      <c r="B531" t="s">
        <v>10</v>
      </c>
      <c r="C531">
        <v>65</v>
      </c>
      <c r="D531" t="s">
        <v>11</v>
      </c>
      <c r="E531" t="s">
        <v>1021</v>
      </c>
      <c r="F531" t="s">
        <v>1022</v>
      </c>
      <c r="G531">
        <v>89050</v>
      </c>
      <c r="I531" t="s">
        <v>14</v>
      </c>
    </row>
    <row r="532" spans="1:9">
      <c r="A532" t="s">
        <v>9</v>
      </c>
      <c r="B532" t="s">
        <v>10</v>
      </c>
      <c r="C532">
        <v>65</v>
      </c>
      <c r="D532" t="s">
        <v>11</v>
      </c>
      <c r="E532" t="s">
        <v>1023</v>
      </c>
      <c r="F532" t="s">
        <v>1024</v>
      </c>
      <c r="G532">
        <v>81310</v>
      </c>
      <c r="I532" t="s">
        <v>14</v>
      </c>
    </row>
    <row r="533" spans="1:9">
      <c r="A533" t="s">
        <v>9</v>
      </c>
      <c r="B533" t="s">
        <v>10</v>
      </c>
      <c r="C533">
        <v>65</v>
      </c>
      <c r="D533" t="s">
        <v>11</v>
      </c>
      <c r="E533" t="s">
        <v>1025</v>
      </c>
      <c r="F533" t="s">
        <v>1026</v>
      </c>
      <c r="G533">
        <v>55600</v>
      </c>
      <c r="I533" t="s">
        <v>14</v>
      </c>
    </row>
    <row r="534" spans="1:9">
      <c r="A534" t="s">
        <v>9</v>
      </c>
      <c r="B534" t="s">
        <v>10</v>
      </c>
      <c r="C534">
        <v>65</v>
      </c>
      <c r="D534" t="s">
        <v>11</v>
      </c>
      <c r="E534" t="s">
        <v>1027</v>
      </c>
      <c r="F534" t="s">
        <v>1028</v>
      </c>
      <c r="G534">
        <v>304840</v>
      </c>
      <c r="I534" t="s">
        <v>14</v>
      </c>
    </row>
    <row r="535" spans="1:9">
      <c r="A535" t="s">
        <v>9</v>
      </c>
      <c r="B535" t="s">
        <v>10</v>
      </c>
      <c r="C535">
        <v>65</v>
      </c>
      <c r="D535" t="s">
        <v>11</v>
      </c>
      <c r="E535" t="s">
        <v>1029</v>
      </c>
      <c r="F535" t="s">
        <v>1030</v>
      </c>
      <c r="G535">
        <v>164410</v>
      </c>
      <c r="I535" t="s">
        <v>14</v>
      </c>
    </row>
    <row r="536" spans="1:9">
      <c r="A536" t="s">
        <v>9</v>
      </c>
      <c r="B536" t="s">
        <v>10</v>
      </c>
      <c r="C536">
        <v>65</v>
      </c>
      <c r="D536" t="s">
        <v>11</v>
      </c>
      <c r="E536" t="s">
        <v>1031</v>
      </c>
      <c r="F536" t="s">
        <v>1032</v>
      </c>
      <c r="G536">
        <v>284260</v>
      </c>
      <c r="I536" t="s">
        <v>14</v>
      </c>
    </row>
    <row r="537" spans="1:9">
      <c r="A537" t="s">
        <v>9</v>
      </c>
      <c r="B537" t="s">
        <v>10</v>
      </c>
      <c r="C537">
        <v>65</v>
      </c>
      <c r="D537" t="s">
        <v>11</v>
      </c>
      <c r="E537" t="s">
        <v>1033</v>
      </c>
      <c r="F537" t="s">
        <v>1034</v>
      </c>
      <c r="G537">
        <v>455070</v>
      </c>
      <c r="I537" t="s">
        <v>14</v>
      </c>
    </row>
    <row r="538" spans="1:9">
      <c r="A538" t="s">
        <v>9</v>
      </c>
      <c r="B538" t="s">
        <v>10</v>
      </c>
      <c r="C538">
        <v>65</v>
      </c>
      <c r="D538" t="s">
        <v>11</v>
      </c>
      <c r="E538" t="s">
        <v>1035</v>
      </c>
      <c r="F538" t="s">
        <v>1036</v>
      </c>
      <c r="G538">
        <v>462260</v>
      </c>
      <c r="I538" t="s">
        <v>14</v>
      </c>
    </row>
    <row r="539" spans="1:9">
      <c r="A539" t="s">
        <v>9</v>
      </c>
      <c r="B539" t="s">
        <v>10</v>
      </c>
      <c r="C539">
        <v>65</v>
      </c>
      <c r="D539" t="s">
        <v>11</v>
      </c>
      <c r="E539" t="s">
        <v>1037</v>
      </c>
      <c r="F539" t="s">
        <v>1038</v>
      </c>
      <c r="G539">
        <v>163060</v>
      </c>
      <c r="I539" t="s">
        <v>14</v>
      </c>
    </row>
    <row r="540" spans="1:9">
      <c r="A540" t="s">
        <v>9</v>
      </c>
      <c r="B540" t="s">
        <v>10</v>
      </c>
      <c r="C540">
        <v>65</v>
      </c>
      <c r="D540" t="s">
        <v>11</v>
      </c>
      <c r="E540" t="s">
        <v>1039</v>
      </c>
      <c r="F540" t="s">
        <v>1040</v>
      </c>
      <c r="G540">
        <v>16760</v>
      </c>
      <c r="I540" t="s">
        <v>14</v>
      </c>
    </row>
    <row r="541" spans="1:9">
      <c r="A541" t="s">
        <v>9</v>
      </c>
      <c r="B541" t="s">
        <v>10</v>
      </c>
      <c r="C541">
        <v>65</v>
      </c>
      <c r="D541" t="s">
        <v>11</v>
      </c>
      <c r="E541" t="s">
        <v>1041</v>
      </c>
      <c r="F541" t="s">
        <v>1042</v>
      </c>
      <c r="G541">
        <v>0</v>
      </c>
      <c r="I541" t="s">
        <v>14</v>
      </c>
    </row>
    <row r="542" spans="1:9">
      <c r="A542" t="s">
        <v>9</v>
      </c>
      <c r="B542" t="s">
        <v>10</v>
      </c>
      <c r="C542">
        <v>65</v>
      </c>
      <c r="D542" t="s">
        <v>11</v>
      </c>
      <c r="E542" t="s">
        <v>1043</v>
      </c>
      <c r="F542" t="s">
        <v>1044</v>
      </c>
      <c r="G542">
        <v>60310</v>
      </c>
      <c r="I542" t="s">
        <v>14</v>
      </c>
    </row>
    <row r="543" spans="1:9">
      <c r="A543" t="s">
        <v>9</v>
      </c>
      <c r="B543" t="s">
        <v>10</v>
      </c>
      <c r="C543">
        <v>65</v>
      </c>
      <c r="D543" t="s">
        <v>11</v>
      </c>
      <c r="E543" t="s">
        <v>1045</v>
      </c>
      <c r="F543" t="s">
        <v>1046</v>
      </c>
      <c r="G543">
        <v>98300</v>
      </c>
      <c r="I543" t="s">
        <v>14</v>
      </c>
    </row>
    <row r="544" spans="1:9">
      <c r="A544" t="s">
        <v>9</v>
      </c>
      <c r="B544" t="s">
        <v>10</v>
      </c>
      <c r="C544">
        <v>65</v>
      </c>
      <c r="D544" t="s">
        <v>11</v>
      </c>
      <c r="E544" t="s">
        <v>1047</v>
      </c>
      <c r="F544" t="s">
        <v>1048</v>
      </c>
      <c r="G544">
        <v>207740</v>
      </c>
      <c r="I544" t="s">
        <v>14</v>
      </c>
    </row>
    <row r="545" spans="1:9">
      <c r="A545" t="s">
        <v>9</v>
      </c>
      <c r="B545" t="s">
        <v>10</v>
      </c>
      <c r="C545">
        <v>65</v>
      </c>
      <c r="D545" t="s">
        <v>11</v>
      </c>
      <c r="E545" t="s">
        <v>1049</v>
      </c>
      <c r="F545" t="s">
        <v>1050</v>
      </c>
      <c r="G545">
        <v>118910</v>
      </c>
      <c r="I545" t="s">
        <v>14</v>
      </c>
    </row>
    <row r="546" spans="1:9">
      <c r="A546" t="s">
        <v>9</v>
      </c>
      <c r="B546" t="s">
        <v>10</v>
      </c>
      <c r="C546">
        <v>65</v>
      </c>
      <c r="D546" t="s">
        <v>11</v>
      </c>
      <c r="E546" t="s">
        <v>1051</v>
      </c>
      <c r="F546" t="s">
        <v>1052</v>
      </c>
      <c r="G546">
        <v>69890</v>
      </c>
      <c r="I546" t="s">
        <v>14</v>
      </c>
    </row>
    <row r="547" spans="1:9">
      <c r="A547" t="s">
        <v>9</v>
      </c>
      <c r="B547" t="s">
        <v>10</v>
      </c>
      <c r="C547">
        <v>65</v>
      </c>
      <c r="D547" t="s">
        <v>11</v>
      </c>
      <c r="E547" t="s">
        <v>1053</v>
      </c>
      <c r="F547" t="s">
        <v>1054</v>
      </c>
      <c r="G547">
        <v>155800</v>
      </c>
      <c r="I547" t="s">
        <v>14</v>
      </c>
    </row>
    <row r="548" spans="1:9">
      <c r="A548" t="s">
        <v>9</v>
      </c>
      <c r="B548" t="s">
        <v>10</v>
      </c>
      <c r="C548">
        <v>65</v>
      </c>
      <c r="D548" t="s">
        <v>11</v>
      </c>
      <c r="E548" t="s">
        <v>1055</v>
      </c>
      <c r="F548" t="s">
        <v>1056</v>
      </c>
      <c r="G548">
        <v>347840</v>
      </c>
      <c r="I548" t="s">
        <v>14</v>
      </c>
    </row>
    <row r="549" spans="1:9">
      <c r="A549" t="s">
        <v>9</v>
      </c>
      <c r="B549" t="s">
        <v>10</v>
      </c>
      <c r="C549">
        <v>65</v>
      </c>
      <c r="D549" t="s">
        <v>11</v>
      </c>
      <c r="E549" t="s">
        <v>1057</v>
      </c>
      <c r="F549" t="s">
        <v>1058</v>
      </c>
      <c r="G549">
        <v>488510</v>
      </c>
      <c r="I549" t="s">
        <v>14</v>
      </c>
    </row>
    <row r="550" spans="1:9">
      <c r="A550" t="s">
        <v>9</v>
      </c>
      <c r="B550" t="s">
        <v>10</v>
      </c>
      <c r="C550">
        <v>65</v>
      </c>
      <c r="D550" t="s">
        <v>11</v>
      </c>
      <c r="E550" t="s">
        <v>1059</v>
      </c>
      <c r="F550" t="s">
        <v>1060</v>
      </c>
      <c r="G550">
        <v>264550</v>
      </c>
      <c r="I550" t="s">
        <v>14</v>
      </c>
    </row>
    <row r="551" spans="1:9">
      <c r="A551" t="s">
        <v>9</v>
      </c>
      <c r="B551" t="s">
        <v>10</v>
      </c>
      <c r="C551">
        <v>65</v>
      </c>
      <c r="D551" t="s">
        <v>11</v>
      </c>
      <c r="E551" t="s">
        <v>1061</v>
      </c>
      <c r="F551" t="s">
        <v>1062</v>
      </c>
      <c r="G551">
        <v>56170</v>
      </c>
      <c r="I551" t="s">
        <v>14</v>
      </c>
    </row>
    <row r="552" spans="1:9">
      <c r="A552" t="s">
        <v>9</v>
      </c>
      <c r="B552" t="s">
        <v>10</v>
      </c>
      <c r="C552">
        <v>65</v>
      </c>
      <c r="D552" t="s">
        <v>11</v>
      </c>
      <c r="E552" t="s">
        <v>1063</v>
      </c>
      <c r="F552" t="s">
        <v>1064</v>
      </c>
      <c r="G552">
        <v>7930</v>
      </c>
      <c r="I552" t="s">
        <v>14</v>
      </c>
    </row>
    <row r="553" spans="1:9">
      <c r="A553" t="s">
        <v>9</v>
      </c>
      <c r="B553" t="s">
        <v>10</v>
      </c>
      <c r="C553">
        <v>65</v>
      </c>
      <c r="D553" t="s">
        <v>11</v>
      </c>
      <c r="E553" t="s">
        <v>1065</v>
      </c>
      <c r="F553" t="s">
        <v>1066</v>
      </c>
      <c r="G553">
        <v>3360</v>
      </c>
      <c r="I553" t="s">
        <v>14</v>
      </c>
    </row>
    <row r="554" spans="1:9">
      <c r="A554" t="s">
        <v>9</v>
      </c>
      <c r="B554" t="s">
        <v>10</v>
      </c>
      <c r="C554">
        <v>65</v>
      </c>
      <c r="D554" t="s">
        <v>11</v>
      </c>
      <c r="E554" t="s">
        <v>1067</v>
      </c>
      <c r="F554" t="s">
        <v>1068</v>
      </c>
      <c r="G554">
        <v>16070</v>
      </c>
      <c r="I554" t="s">
        <v>14</v>
      </c>
    </row>
    <row r="555" spans="1:9">
      <c r="A555" t="s">
        <v>9</v>
      </c>
      <c r="B555" t="s">
        <v>10</v>
      </c>
      <c r="C555">
        <v>65</v>
      </c>
      <c r="D555" t="s">
        <v>11</v>
      </c>
      <c r="E555" t="s">
        <v>1069</v>
      </c>
      <c r="F555" t="s">
        <v>1070</v>
      </c>
      <c r="G555">
        <v>64000</v>
      </c>
      <c r="I555" t="s">
        <v>14</v>
      </c>
    </row>
    <row r="556" spans="1:9">
      <c r="A556" t="s">
        <v>9</v>
      </c>
      <c r="B556" t="s">
        <v>10</v>
      </c>
      <c r="C556">
        <v>65</v>
      </c>
      <c r="D556" t="s">
        <v>11</v>
      </c>
      <c r="E556" t="s">
        <v>1071</v>
      </c>
      <c r="F556" t="s">
        <v>1072</v>
      </c>
      <c r="G556">
        <v>76720</v>
      </c>
      <c r="I556" t="s">
        <v>14</v>
      </c>
    </row>
    <row r="557" spans="1:9">
      <c r="A557" t="s">
        <v>9</v>
      </c>
      <c r="B557" t="s">
        <v>10</v>
      </c>
      <c r="C557">
        <v>65</v>
      </c>
      <c r="D557" t="s">
        <v>11</v>
      </c>
      <c r="E557" t="s">
        <v>1073</v>
      </c>
      <c r="F557" t="s">
        <v>1074</v>
      </c>
      <c r="G557">
        <v>41880</v>
      </c>
      <c r="I557" t="s">
        <v>14</v>
      </c>
    </row>
    <row r="558" spans="1:9">
      <c r="A558" t="s">
        <v>9</v>
      </c>
      <c r="B558" t="s">
        <v>10</v>
      </c>
      <c r="C558">
        <v>65</v>
      </c>
      <c r="D558" t="s">
        <v>11</v>
      </c>
      <c r="E558" t="s">
        <v>1075</v>
      </c>
      <c r="F558" t="s">
        <v>1076</v>
      </c>
      <c r="G558">
        <v>80220</v>
      </c>
      <c r="I558" t="s">
        <v>14</v>
      </c>
    </row>
    <row r="559" spans="1:9">
      <c r="A559" t="s">
        <v>9</v>
      </c>
      <c r="B559" t="s">
        <v>10</v>
      </c>
      <c r="C559">
        <v>65</v>
      </c>
      <c r="D559" t="s">
        <v>11</v>
      </c>
      <c r="E559" t="s">
        <v>1077</v>
      </c>
      <c r="F559" t="s">
        <v>1078</v>
      </c>
      <c r="G559">
        <v>136060</v>
      </c>
      <c r="I559" t="s">
        <v>14</v>
      </c>
    </row>
    <row r="560" spans="1:9">
      <c r="A560" t="s">
        <v>9</v>
      </c>
      <c r="B560" t="s">
        <v>10</v>
      </c>
      <c r="C560">
        <v>65</v>
      </c>
      <c r="D560" t="s">
        <v>11</v>
      </c>
      <c r="E560" t="s">
        <v>1079</v>
      </c>
      <c r="F560" t="s">
        <v>1080</v>
      </c>
      <c r="G560">
        <v>192220</v>
      </c>
      <c r="I560" t="s">
        <v>14</v>
      </c>
    </row>
    <row r="561" spans="1:9">
      <c r="A561" t="s">
        <v>9</v>
      </c>
      <c r="B561" t="s">
        <v>10</v>
      </c>
      <c r="C561">
        <v>65</v>
      </c>
      <c r="D561" t="s">
        <v>11</v>
      </c>
      <c r="E561" t="s">
        <v>1081</v>
      </c>
      <c r="F561" t="s">
        <v>1082</v>
      </c>
      <c r="G561">
        <v>352500</v>
      </c>
      <c r="I561" t="s">
        <v>14</v>
      </c>
    </row>
    <row r="562" spans="1:9">
      <c r="A562" t="s">
        <v>9</v>
      </c>
      <c r="B562" t="s">
        <v>10</v>
      </c>
      <c r="C562">
        <v>65</v>
      </c>
      <c r="D562" t="s">
        <v>11</v>
      </c>
      <c r="E562" t="s">
        <v>1083</v>
      </c>
      <c r="F562" t="s">
        <v>1084</v>
      </c>
      <c r="G562">
        <v>110750</v>
      </c>
      <c r="I562" t="s">
        <v>14</v>
      </c>
    </row>
    <row r="563" spans="1:9">
      <c r="A563" t="s">
        <v>9</v>
      </c>
      <c r="B563" t="s">
        <v>10</v>
      </c>
      <c r="C563">
        <v>65</v>
      </c>
      <c r="D563" t="s">
        <v>11</v>
      </c>
      <c r="E563" t="s">
        <v>1085</v>
      </c>
      <c r="F563" t="s">
        <v>1086</v>
      </c>
      <c r="G563">
        <v>20880</v>
      </c>
      <c r="I563" t="s">
        <v>14</v>
      </c>
    </row>
    <row r="564" spans="1:9">
      <c r="A564" t="s">
        <v>9</v>
      </c>
      <c r="B564" t="s">
        <v>10</v>
      </c>
      <c r="C564">
        <v>65</v>
      </c>
      <c r="D564" t="s">
        <v>11</v>
      </c>
      <c r="E564" t="s">
        <v>1087</v>
      </c>
      <c r="F564" t="s">
        <v>1088</v>
      </c>
      <c r="G564">
        <v>0</v>
      </c>
      <c r="I564" t="s">
        <v>14</v>
      </c>
    </row>
    <row r="565" spans="1:9">
      <c r="A565" t="s">
        <v>9</v>
      </c>
      <c r="B565" t="s">
        <v>10</v>
      </c>
      <c r="C565">
        <v>65</v>
      </c>
      <c r="D565" t="s">
        <v>11</v>
      </c>
      <c r="E565" t="s">
        <v>1089</v>
      </c>
      <c r="F565" t="s">
        <v>1090</v>
      </c>
      <c r="G565">
        <v>2880</v>
      </c>
      <c r="I565" t="s">
        <v>14</v>
      </c>
    </row>
    <row r="566" spans="1:9">
      <c r="A566" t="s">
        <v>9</v>
      </c>
      <c r="B566" t="s">
        <v>10</v>
      </c>
      <c r="C566">
        <v>65</v>
      </c>
      <c r="D566" t="s">
        <v>11</v>
      </c>
      <c r="E566" t="s">
        <v>1091</v>
      </c>
      <c r="F566" t="s">
        <v>1092</v>
      </c>
      <c r="G566">
        <v>38200</v>
      </c>
      <c r="I566" t="s">
        <v>14</v>
      </c>
    </row>
    <row r="567" spans="1:9">
      <c r="A567" t="s">
        <v>9</v>
      </c>
      <c r="B567" t="s">
        <v>10</v>
      </c>
      <c r="C567">
        <v>65</v>
      </c>
      <c r="D567" t="s">
        <v>11</v>
      </c>
      <c r="E567" t="s">
        <v>1093</v>
      </c>
      <c r="F567" t="s">
        <v>1094</v>
      </c>
      <c r="G567">
        <v>28160</v>
      </c>
      <c r="I567" t="s">
        <v>14</v>
      </c>
    </row>
    <row r="568" spans="1:9">
      <c r="A568" t="s">
        <v>9</v>
      </c>
      <c r="B568" t="s">
        <v>10</v>
      </c>
      <c r="C568">
        <v>65</v>
      </c>
      <c r="D568" t="s">
        <v>11</v>
      </c>
      <c r="E568" t="s">
        <v>1095</v>
      </c>
      <c r="F568" t="s">
        <v>1096</v>
      </c>
      <c r="G568">
        <v>17180</v>
      </c>
      <c r="I568" t="s">
        <v>14</v>
      </c>
    </row>
    <row r="569" spans="1:9">
      <c r="A569" t="s">
        <v>9</v>
      </c>
      <c r="B569" t="s">
        <v>10</v>
      </c>
      <c r="C569">
        <v>65</v>
      </c>
      <c r="D569" t="s">
        <v>11</v>
      </c>
      <c r="E569" t="s">
        <v>1097</v>
      </c>
      <c r="F569" t="s">
        <v>1098</v>
      </c>
      <c r="G569">
        <v>39700</v>
      </c>
      <c r="I569" t="s">
        <v>14</v>
      </c>
    </row>
    <row r="570" spans="1:9">
      <c r="A570" t="s">
        <v>9</v>
      </c>
      <c r="B570" t="s">
        <v>10</v>
      </c>
      <c r="C570">
        <v>65</v>
      </c>
      <c r="D570" t="s">
        <v>11</v>
      </c>
      <c r="E570" t="s">
        <v>1099</v>
      </c>
      <c r="F570" t="s">
        <v>1100</v>
      </c>
      <c r="G570">
        <v>25860</v>
      </c>
      <c r="I570" t="s">
        <v>14</v>
      </c>
    </row>
    <row r="571" spans="1:9">
      <c r="A571" t="s">
        <v>9</v>
      </c>
      <c r="B571" t="s">
        <v>10</v>
      </c>
      <c r="C571">
        <v>65</v>
      </c>
      <c r="D571" t="s">
        <v>11</v>
      </c>
      <c r="E571" t="s">
        <v>1101</v>
      </c>
      <c r="F571" t="s">
        <v>1102</v>
      </c>
      <c r="G571">
        <v>73010</v>
      </c>
      <c r="I571" t="s">
        <v>14</v>
      </c>
    </row>
    <row r="572" spans="1:9">
      <c r="A572" t="s">
        <v>9</v>
      </c>
      <c r="B572" t="s">
        <v>10</v>
      </c>
      <c r="C572">
        <v>65</v>
      </c>
      <c r="D572" t="s">
        <v>11</v>
      </c>
      <c r="E572" t="s">
        <v>1103</v>
      </c>
      <c r="F572" t="s">
        <v>1104</v>
      </c>
      <c r="G572">
        <v>221050</v>
      </c>
      <c r="I572" t="s">
        <v>14</v>
      </c>
    </row>
    <row r="573" spans="1:9">
      <c r="A573" t="s">
        <v>9</v>
      </c>
      <c r="B573" t="s">
        <v>10</v>
      </c>
      <c r="C573">
        <v>65</v>
      </c>
      <c r="D573" t="s">
        <v>11</v>
      </c>
      <c r="E573" t="s">
        <v>1105</v>
      </c>
      <c r="F573" t="s">
        <v>1106</v>
      </c>
      <c r="G573">
        <v>436250</v>
      </c>
      <c r="I573" t="s">
        <v>14</v>
      </c>
    </row>
    <row r="574" spans="1:9">
      <c r="A574" t="s">
        <v>9</v>
      </c>
      <c r="B574" t="s">
        <v>10</v>
      </c>
      <c r="C574">
        <v>65</v>
      </c>
      <c r="D574" t="s">
        <v>11</v>
      </c>
      <c r="E574" t="s">
        <v>1107</v>
      </c>
      <c r="F574" t="s">
        <v>1108</v>
      </c>
      <c r="G574">
        <v>433760</v>
      </c>
      <c r="I574" t="s">
        <v>14</v>
      </c>
    </row>
    <row r="575" spans="1:9">
      <c r="A575" t="s">
        <v>9</v>
      </c>
      <c r="B575" t="s">
        <v>10</v>
      </c>
      <c r="C575">
        <v>65</v>
      </c>
      <c r="D575" t="s">
        <v>11</v>
      </c>
      <c r="E575" t="s">
        <v>1109</v>
      </c>
      <c r="F575" t="s">
        <v>1110</v>
      </c>
      <c r="G575">
        <v>87730</v>
      </c>
      <c r="I575" t="s">
        <v>14</v>
      </c>
    </row>
    <row r="576" spans="1:9">
      <c r="A576" t="s">
        <v>9</v>
      </c>
      <c r="B576" t="s">
        <v>10</v>
      </c>
      <c r="C576">
        <v>65</v>
      </c>
      <c r="D576" t="s">
        <v>11</v>
      </c>
      <c r="E576" t="s">
        <v>1111</v>
      </c>
      <c r="F576" t="s">
        <v>1112</v>
      </c>
      <c r="G576">
        <v>5170</v>
      </c>
      <c r="I576" t="s">
        <v>14</v>
      </c>
    </row>
    <row r="577" spans="1:9">
      <c r="A577" t="s">
        <v>9</v>
      </c>
      <c r="B577" t="s">
        <v>10</v>
      </c>
      <c r="C577">
        <v>65</v>
      </c>
      <c r="D577" t="s">
        <v>11</v>
      </c>
      <c r="E577" t="s">
        <v>1113</v>
      </c>
      <c r="F577" t="s">
        <v>1114</v>
      </c>
      <c r="G577">
        <v>2480</v>
      </c>
      <c r="I577" t="s">
        <v>14</v>
      </c>
    </row>
    <row r="578" spans="1:9">
      <c r="A578" t="s">
        <v>9</v>
      </c>
      <c r="B578" t="s">
        <v>10</v>
      </c>
      <c r="C578">
        <v>65</v>
      </c>
      <c r="D578" t="s">
        <v>11</v>
      </c>
      <c r="E578" t="s">
        <v>1115</v>
      </c>
      <c r="F578" t="s">
        <v>1116</v>
      </c>
      <c r="G578">
        <v>5150</v>
      </c>
      <c r="I578" t="s">
        <v>14</v>
      </c>
    </row>
    <row r="579" spans="1:9">
      <c r="A579" t="s">
        <v>9</v>
      </c>
      <c r="B579" t="s">
        <v>10</v>
      </c>
      <c r="C579">
        <v>65</v>
      </c>
      <c r="D579" t="s">
        <v>11</v>
      </c>
      <c r="E579" t="s">
        <v>1117</v>
      </c>
      <c r="F579" t="s">
        <v>1118</v>
      </c>
      <c r="G579">
        <v>8210</v>
      </c>
      <c r="I579" t="s">
        <v>14</v>
      </c>
    </row>
    <row r="580" spans="1:9">
      <c r="A580" t="s">
        <v>9</v>
      </c>
      <c r="B580" t="s">
        <v>10</v>
      </c>
      <c r="C580">
        <v>65</v>
      </c>
      <c r="D580" t="s">
        <v>11</v>
      </c>
      <c r="E580" t="s">
        <v>1119</v>
      </c>
      <c r="F580" t="s">
        <v>1120</v>
      </c>
      <c r="G580">
        <v>17770</v>
      </c>
      <c r="I580" t="s">
        <v>14</v>
      </c>
    </row>
    <row r="581" spans="1:9">
      <c r="A581" t="s">
        <v>9</v>
      </c>
      <c r="B581" t="s">
        <v>10</v>
      </c>
      <c r="C581">
        <v>65</v>
      </c>
      <c r="D581" t="s">
        <v>11</v>
      </c>
      <c r="E581" t="s">
        <v>1121</v>
      </c>
      <c r="F581" t="s">
        <v>1122</v>
      </c>
      <c r="G581">
        <v>19900</v>
      </c>
      <c r="I581" t="s">
        <v>14</v>
      </c>
    </row>
    <row r="582" spans="1:9">
      <c r="A582" t="s">
        <v>9</v>
      </c>
      <c r="B582" t="s">
        <v>10</v>
      </c>
      <c r="C582">
        <v>65</v>
      </c>
      <c r="D582" t="s">
        <v>11</v>
      </c>
      <c r="E582" t="s">
        <v>1123</v>
      </c>
      <c r="F582" t="s">
        <v>1124</v>
      </c>
      <c r="G582">
        <v>39120</v>
      </c>
      <c r="I582" t="s">
        <v>14</v>
      </c>
    </row>
    <row r="583" spans="1:9">
      <c r="A583" t="s">
        <v>9</v>
      </c>
      <c r="B583" t="s">
        <v>10</v>
      </c>
      <c r="C583">
        <v>65</v>
      </c>
      <c r="D583" t="s">
        <v>11</v>
      </c>
      <c r="E583" t="s">
        <v>1125</v>
      </c>
      <c r="F583" t="s">
        <v>1126</v>
      </c>
      <c r="G583">
        <v>123240</v>
      </c>
      <c r="I583" t="s">
        <v>14</v>
      </c>
    </row>
    <row r="584" spans="1:9">
      <c r="A584" t="s">
        <v>9</v>
      </c>
      <c r="B584" t="s">
        <v>10</v>
      </c>
      <c r="C584">
        <v>65</v>
      </c>
      <c r="D584" t="s">
        <v>11</v>
      </c>
      <c r="E584" t="s">
        <v>1127</v>
      </c>
      <c r="F584" t="s">
        <v>1128</v>
      </c>
      <c r="G584">
        <v>318250</v>
      </c>
      <c r="I584" t="s">
        <v>14</v>
      </c>
    </row>
    <row r="585" spans="1:9">
      <c r="A585" t="s">
        <v>9</v>
      </c>
      <c r="B585" t="s">
        <v>10</v>
      </c>
      <c r="C585">
        <v>65</v>
      </c>
      <c r="D585" t="s">
        <v>11</v>
      </c>
      <c r="E585" t="s">
        <v>1129</v>
      </c>
      <c r="F585" t="s">
        <v>1130</v>
      </c>
      <c r="G585">
        <v>436420</v>
      </c>
      <c r="I585" t="s">
        <v>14</v>
      </c>
    </row>
    <row r="586" spans="1:9">
      <c r="A586" t="s">
        <v>9</v>
      </c>
      <c r="B586" t="s">
        <v>10</v>
      </c>
      <c r="C586">
        <v>65</v>
      </c>
      <c r="D586" t="s">
        <v>11</v>
      </c>
      <c r="E586" t="s">
        <v>1131</v>
      </c>
      <c r="F586" t="s">
        <v>1132</v>
      </c>
      <c r="G586">
        <v>240370</v>
      </c>
      <c r="I586" t="s">
        <v>14</v>
      </c>
    </row>
    <row r="587" spans="1:9">
      <c r="A587" t="s">
        <v>9</v>
      </c>
      <c r="B587" t="s">
        <v>10</v>
      </c>
      <c r="C587">
        <v>65</v>
      </c>
      <c r="D587" t="s">
        <v>11</v>
      </c>
      <c r="E587" t="s">
        <v>1133</v>
      </c>
      <c r="F587" t="s">
        <v>1134</v>
      </c>
      <c r="G587">
        <v>29470</v>
      </c>
      <c r="I587" t="s">
        <v>14</v>
      </c>
    </row>
    <row r="588" spans="1:9">
      <c r="A588" t="s">
        <v>9</v>
      </c>
      <c r="B588" t="s">
        <v>10</v>
      </c>
      <c r="C588">
        <v>65</v>
      </c>
      <c r="D588" t="s">
        <v>11</v>
      </c>
      <c r="E588" t="s">
        <v>1135</v>
      </c>
      <c r="F588" t="s">
        <v>1136</v>
      </c>
      <c r="G588">
        <v>4510</v>
      </c>
      <c r="I588" t="s">
        <v>14</v>
      </c>
    </row>
    <row r="589" spans="1:9">
      <c r="A589" t="s">
        <v>9</v>
      </c>
      <c r="B589" t="s">
        <v>10</v>
      </c>
      <c r="C589">
        <v>65</v>
      </c>
      <c r="D589" t="s">
        <v>11</v>
      </c>
      <c r="E589" t="s">
        <v>1137</v>
      </c>
      <c r="F589" t="s">
        <v>1138</v>
      </c>
      <c r="G589">
        <v>3720</v>
      </c>
      <c r="I589" t="s">
        <v>14</v>
      </c>
    </row>
    <row r="590" spans="1:9">
      <c r="A590" t="s">
        <v>9</v>
      </c>
      <c r="B590" t="s">
        <v>10</v>
      </c>
      <c r="C590">
        <v>65</v>
      </c>
      <c r="D590" t="s">
        <v>11</v>
      </c>
      <c r="E590" t="s">
        <v>1139</v>
      </c>
      <c r="F590" t="s">
        <v>1140</v>
      </c>
      <c r="G590">
        <v>3920</v>
      </c>
      <c r="I590" t="s">
        <v>14</v>
      </c>
    </row>
    <row r="591" spans="1:9">
      <c r="A591" t="s">
        <v>9</v>
      </c>
      <c r="B591" t="s">
        <v>10</v>
      </c>
      <c r="C591">
        <v>65</v>
      </c>
      <c r="D591" t="s">
        <v>11</v>
      </c>
      <c r="E591" t="s">
        <v>1141</v>
      </c>
      <c r="F591" t="s">
        <v>1142</v>
      </c>
      <c r="G591">
        <v>14220</v>
      </c>
      <c r="I591" t="s">
        <v>14</v>
      </c>
    </row>
    <row r="592" spans="1:9">
      <c r="A592" t="s">
        <v>9</v>
      </c>
      <c r="B592" t="s">
        <v>10</v>
      </c>
      <c r="C592">
        <v>65</v>
      </c>
      <c r="D592" t="s">
        <v>11</v>
      </c>
      <c r="E592" t="s">
        <v>1143</v>
      </c>
      <c r="F592" t="s">
        <v>1144</v>
      </c>
      <c r="G592">
        <v>13420</v>
      </c>
      <c r="I592" t="s">
        <v>14</v>
      </c>
    </row>
    <row r="593" spans="1:9">
      <c r="A593" t="s">
        <v>9</v>
      </c>
      <c r="B593" t="s">
        <v>10</v>
      </c>
      <c r="C593">
        <v>65</v>
      </c>
      <c r="D593" t="s">
        <v>11</v>
      </c>
      <c r="E593" t="s">
        <v>1145</v>
      </c>
      <c r="F593" t="s">
        <v>1146</v>
      </c>
      <c r="G593">
        <v>77460</v>
      </c>
      <c r="I593" t="s">
        <v>14</v>
      </c>
    </row>
    <row r="594" spans="1:9">
      <c r="A594" t="s">
        <v>9</v>
      </c>
      <c r="B594" t="s">
        <v>10</v>
      </c>
      <c r="C594">
        <v>65</v>
      </c>
      <c r="D594" t="s">
        <v>11</v>
      </c>
      <c r="E594" t="s">
        <v>1147</v>
      </c>
      <c r="F594" t="s">
        <v>1148</v>
      </c>
      <c r="G594">
        <v>124320</v>
      </c>
      <c r="I594" t="s">
        <v>14</v>
      </c>
    </row>
    <row r="595" spans="1:9">
      <c r="A595" t="s">
        <v>9</v>
      </c>
      <c r="B595" t="s">
        <v>10</v>
      </c>
      <c r="C595">
        <v>65</v>
      </c>
      <c r="D595" t="s">
        <v>11</v>
      </c>
      <c r="E595" t="s">
        <v>1149</v>
      </c>
      <c r="F595" t="s">
        <v>1150</v>
      </c>
      <c r="G595">
        <v>128310</v>
      </c>
      <c r="I595" t="s">
        <v>14</v>
      </c>
    </row>
    <row r="596" spans="1:9">
      <c r="A596" t="s">
        <v>9</v>
      </c>
      <c r="B596" t="s">
        <v>10</v>
      </c>
      <c r="C596">
        <v>65</v>
      </c>
      <c r="D596" t="s">
        <v>11</v>
      </c>
      <c r="E596" t="s">
        <v>1151</v>
      </c>
      <c r="F596" t="s">
        <v>1152</v>
      </c>
      <c r="G596">
        <v>329130</v>
      </c>
      <c r="I596" t="s">
        <v>14</v>
      </c>
    </row>
    <row r="597" spans="1:9">
      <c r="A597" t="s">
        <v>9</v>
      </c>
      <c r="B597" t="s">
        <v>10</v>
      </c>
      <c r="C597">
        <v>65</v>
      </c>
      <c r="D597" t="s">
        <v>11</v>
      </c>
      <c r="E597" t="s">
        <v>1153</v>
      </c>
      <c r="F597" t="s">
        <v>1154</v>
      </c>
      <c r="G597">
        <v>467440</v>
      </c>
      <c r="I597" t="s">
        <v>14</v>
      </c>
    </row>
    <row r="598" spans="1:9">
      <c r="A598" t="s">
        <v>9</v>
      </c>
      <c r="B598" t="s">
        <v>10</v>
      </c>
      <c r="C598">
        <v>65</v>
      </c>
      <c r="D598" t="s">
        <v>11</v>
      </c>
      <c r="E598" t="s">
        <v>1155</v>
      </c>
      <c r="F598" t="s">
        <v>1156</v>
      </c>
      <c r="G598">
        <v>319390</v>
      </c>
      <c r="I598" t="s">
        <v>14</v>
      </c>
    </row>
    <row r="599" spans="1:9">
      <c r="A599" t="s">
        <v>9</v>
      </c>
      <c r="B599" t="s">
        <v>10</v>
      </c>
      <c r="C599">
        <v>65</v>
      </c>
      <c r="D599" t="s">
        <v>11</v>
      </c>
      <c r="E599" t="s">
        <v>1157</v>
      </c>
      <c r="F599" t="s">
        <v>1158</v>
      </c>
      <c r="G599">
        <v>62240</v>
      </c>
      <c r="I599" t="s">
        <v>14</v>
      </c>
    </row>
    <row r="600" spans="1:9">
      <c r="A600" t="s">
        <v>9</v>
      </c>
      <c r="B600" t="s">
        <v>10</v>
      </c>
      <c r="C600">
        <v>65</v>
      </c>
      <c r="D600" t="s">
        <v>11</v>
      </c>
      <c r="E600" t="s">
        <v>1159</v>
      </c>
      <c r="F600" t="s">
        <v>1160</v>
      </c>
      <c r="G600">
        <v>6510</v>
      </c>
      <c r="I600" t="s">
        <v>14</v>
      </c>
    </row>
    <row r="601" spans="1:9">
      <c r="A601" t="s">
        <v>9</v>
      </c>
      <c r="B601" t="s">
        <v>10</v>
      </c>
      <c r="C601">
        <v>65</v>
      </c>
      <c r="D601" t="s">
        <v>11</v>
      </c>
      <c r="E601" t="s">
        <v>1161</v>
      </c>
      <c r="F601" t="s">
        <v>1162</v>
      </c>
      <c r="G601">
        <v>0</v>
      </c>
      <c r="I601" t="s">
        <v>14</v>
      </c>
    </row>
    <row r="602" spans="1:9">
      <c r="A602" t="s">
        <v>9</v>
      </c>
      <c r="B602" t="s">
        <v>10</v>
      </c>
      <c r="C602">
        <v>65</v>
      </c>
      <c r="D602" t="s">
        <v>11</v>
      </c>
      <c r="E602" t="s">
        <v>1163</v>
      </c>
      <c r="F602" t="s">
        <v>1164</v>
      </c>
      <c r="G602">
        <v>24440</v>
      </c>
      <c r="I602" t="s">
        <v>14</v>
      </c>
    </row>
    <row r="603" spans="1:9">
      <c r="A603" t="s">
        <v>9</v>
      </c>
      <c r="B603" t="s">
        <v>10</v>
      </c>
      <c r="C603">
        <v>65</v>
      </c>
      <c r="D603" t="s">
        <v>11</v>
      </c>
      <c r="E603" t="s">
        <v>1165</v>
      </c>
      <c r="F603" t="s">
        <v>1166</v>
      </c>
      <c r="G603">
        <v>521560</v>
      </c>
      <c r="I603" t="s">
        <v>14</v>
      </c>
    </row>
    <row r="604" spans="1:9">
      <c r="A604" t="s">
        <v>9</v>
      </c>
      <c r="B604" t="s">
        <v>10</v>
      </c>
      <c r="C604">
        <v>65</v>
      </c>
      <c r="D604" t="s">
        <v>11</v>
      </c>
      <c r="E604" t="s">
        <v>1167</v>
      </c>
      <c r="F604" t="s">
        <v>1168</v>
      </c>
      <c r="G604">
        <v>508990</v>
      </c>
      <c r="I604" t="s">
        <v>14</v>
      </c>
    </row>
    <row r="605" spans="1:9">
      <c r="A605" t="s">
        <v>9</v>
      </c>
      <c r="B605" t="s">
        <v>10</v>
      </c>
      <c r="C605">
        <v>65</v>
      </c>
      <c r="D605" t="s">
        <v>11</v>
      </c>
      <c r="E605" t="s">
        <v>1169</v>
      </c>
      <c r="F605" t="s">
        <v>1170</v>
      </c>
      <c r="G605">
        <v>159240</v>
      </c>
      <c r="I605" t="s">
        <v>14</v>
      </c>
    </row>
    <row r="606" spans="1:9">
      <c r="A606" t="s">
        <v>9</v>
      </c>
      <c r="B606" t="s">
        <v>10</v>
      </c>
      <c r="C606">
        <v>65</v>
      </c>
      <c r="D606" t="s">
        <v>11</v>
      </c>
      <c r="E606" t="s">
        <v>1171</v>
      </c>
      <c r="F606" t="s">
        <v>1172</v>
      </c>
      <c r="G606">
        <v>138910</v>
      </c>
      <c r="I606" t="s">
        <v>14</v>
      </c>
    </row>
    <row r="607" spans="1:9">
      <c r="A607" t="s">
        <v>9</v>
      </c>
      <c r="B607" t="s">
        <v>10</v>
      </c>
      <c r="C607">
        <v>65</v>
      </c>
      <c r="D607" t="s">
        <v>11</v>
      </c>
      <c r="E607" t="s">
        <v>1173</v>
      </c>
      <c r="F607" t="s">
        <v>1174</v>
      </c>
      <c r="G607">
        <v>168700</v>
      </c>
      <c r="I607" t="s">
        <v>14</v>
      </c>
    </row>
    <row r="608" spans="1:9">
      <c r="A608" t="s">
        <v>9</v>
      </c>
      <c r="B608" t="s">
        <v>10</v>
      </c>
      <c r="C608">
        <v>65</v>
      </c>
      <c r="D608" t="s">
        <v>11</v>
      </c>
      <c r="E608" t="s">
        <v>1175</v>
      </c>
      <c r="F608" t="s">
        <v>1176</v>
      </c>
      <c r="G608">
        <v>253810</v>
      </c>
      <c r="I608" t="s">
        <v>14</v>
      </c>
    </row>
    <row r="609" spans="1:9">
      <c r="A609" t="s">
        <v>9</v>
      </c>
      <c r="B609" t="s">
        <v>10</v>
      </c>
      <c r="C609">
        <v>65</v>
      </c>
      <c r="D609" t="s">
        <v>11</v>
      </c>
      <c r="E609" t="s">
        <v>1177</v>
      </c>
      <c r="F609" t="s">
        <v>1178</v>
      </c>
      <c r="G609">
        <v>372860</v>
      </c>
      <c r="I609" t="s">
        <v>14</v>
      </c>
    </row>
    <row r="610" spans="1:9">
      <c r="A610" t="s">
        <v>9</v>
      </c>
      <c r="B610" t="s">
        <v>10</v>
      </c>
      <c r="C610">
        <v>65</v>
      </c>
      <c r="D610" t="s">
        <v>11</v>
      </c>
      <c r="E610" t="s">
        <v>1179</v>
      </c>
      <c r="F610" t="s">
        <v>1180</v>
      </c>
      <c r="G610">
        <v>256730</v>
      </c>
      <c r="I610" t="s">
        <v>14</v>
      </c>
    </row>
    <row r="611" spans="1:9">
      <c r="A611" t="s">
        <v>9</v>
      </c>
      <c r="B611" t="s">
        <v>10</v>
      </c>
      <c r="C611">
        <v>65</v>
      </c>
      <c r="D611" t="s">
        <v>11</v>
      </c>
      <c r="E611" t="s">
        <v>1181</v>
      </c>
      <c r="F611" t="s">
        <v>1182</v>
      </c>
      <c r="G611">
        <v>60100</v>
      </c>
      <c r="I611" t="s">
        <v>14</v>
      </c>
    </row>
    <row r="612" spans="1:9">
      <c r="A612" t="s">
        <v>9</v>
      </c>
      <c r="B612" t="s">
        <v>10</v>
      </c>
      <c r="C612">
        <v>65</v>
      </c>
      <c r="D612" t="s">
        <v>11</v>
      </c>
      <c r="E612" t="s">
        <v>1183</v>
      </c>
      <c r="F612" t="s">
        <v>1184</v>
      </c>
      <c r="G612">
        <v>9570</v>
      </c>
      <c r="I612" t="s">
        <v>14</v>
      </c>
    </row>
    <row r="613" spans="1:9">
      <c r="A613" t="s">
        <v>9</v>
      </c>
      <c r="B613" t="s">
        <v>10</v>
      </c>
      <c r="C613">
        <v>65</v>
      </c>
      <c r="D613" t="s">
        <v>11</v>
      </c>
      <c r="E613" t="s">
        <v>1185</v>
      </c>
      <c r="F613" t="s">
        <v>1186</v>
      </c>
      <c r="G613">
        <v>270</v>
      </c>
      <c r="I613" t="s">
        <v>14</v>
      </c>
    </row>
    <row r="614" spans="1:9">
      <c r="A614" t="s">
        <v>9</v>
      </c>
      <c r="B614" t="s">
        <v>10</v>
      </c>
      <c r="C614">
        <v>65</v>
      </c>
      <c r="D614" t="s">
        <v>11</v>
      </c>
      <c r="E614" t="s">
        <v>1187</v>
      </c>
      <c r="F614" t="s">
        <v>1188</v>
      </c>
      <c r="G614">
        <v>9020</v>
      </c>
      <c r="I614" t="s">
        <v>14</v>
      </c>
    </row>
    <row r="615" spans="1:9">
      <c r="A615" t="s">
        <v>9</v>
      </c>
      <c r="B615" t="s">
        <v>10</v>
      </c>
      <c r="C615">
        <v>65</v>
      </c>
      <c r="D615" t="s">
        <v>11</v>
      </c>
      <c r="E615" t="s">
        <v>1189</v>
      </c>
      <c r="F615" t="s">
        <v>1190</v>
      </c>
      <c r="G615">
        <v>30850</v>
      </c>
      <c r="I615" t="s">
        <v>14</v>
      </c>
    </row>
    <row r="616" spans="1:9">
      <c r="A616" t="s">
        <v>9</v>
      </c>
      <c r="B616" t="s">
        <v>10</v>
      </c>
      <c r="C616">
        <v>65</v>
      </c>
      <c r="D616" t="s">
        <v>11</v>
      </c>
      <c r="E616" t="s">
        <v>1191</v>
      </c>
      <c r="F616" t="s">
        <v>1192</v>
      </c>
      <c r="G616">
        <v>121410</v>
      </c>
      <c r="I616" t="s">
        <v>14</v>
      </c>
    </row>
    <row r="617" spans="1:9">
      <c r="A617" t="s">
        <v>9</v>
      </c>
      <c r="B617" t="s">
        <v>10</v>
      </c>
      <c r="C617">
        <v>65</v>
      </c>
      <c r="D617" t="s">
        <v>11</v>
      </c>
      <c r="E617" t="s">
        <v>1193</v>
      </c>
      <c r="F617" t="s">
        <v>1194</v>
      </c>
      <c r="G617">
        <v>218690</v>
      </c>
      <c r="I617" t="s">
        <v>14</v>
      </c>
    </row>
    <row r="618" spans="1:9">
      <c r="A618" t="s">
        <v>9</v>
      </c>
      <c r="B618" t="s">
        <v>10</v>
      </c>
      <c r="C618">
        <v>65</v>
      </c>
      <c r="D618" t="s">
        <v>11</v>
      </c>
      <c r="E618" t="s">
        <v>1195</v>
      </c>
      <c r="F618" t="s">
        <v>1196</v>
      </c>
      <c r="G618">
        <v>147760</v>
      </c>
      <c r="I618" t="s">
        <v>14</v>
      </c>
    </row>
    <row r="619" spans="1:9">
      <c r="A619" t="s">
        <v>9</v>
      </c>
      <c r="B619" t="s">
        <v>10</v>
      </c>
      <c r="C619">
        <v>65</v>
      </c>
      <c r="D619" t="s">
        <v>11</v>
      </c>
      <c r="E619" t="s">
        <v>1197</v>
      </c>
      <c r="F619" t="s">
        <v>1198</v>
      </c>
      <c r="G619">
        <v>239840</v>
      </c>
      <c r="I619" t="s">
        <v>14</v>
      </c>
    </row>
    <row r="620" spans="1:9">
      <c r="A620" t="s">
        <v>9</v>
      </c>
      <c r="B620" t="s">
        <v>10</v>
      </c>
      <c r="C620">
        <v>65</v>
      </c>
      <c r="D620" t="s">
        <v>11</v>
      </c>
      <c r="E620" t="s">
        <v>1199</v>
      </c>
      <c r="F620" t="s">
        <v>1200</v>
      </c>
      <c r="G620">
        <v>466420</v>
      </c>
      <c r="I620" t="s">
        <v>14</v>
      </c>
    </row>
    <row r="621" spans="1:9">
      <c r="A621" t="s">
        <v>9</v>
      </c>
      <c r="B621" t="s">
        <v>10</v>
      </c>
      <c r="C621">
        <v>65</v>
      </c>
      <c r="D621" t="s">
        <v>11</v>
      </c>
      <c r="E621" t="s">
        <v>1201</v>
      </c>
      <c r="F621" t="s">
        <v>1202</v>
      </c>
      <c r="G621">
        <v>791330</v>
      </c>
      <c r="I621" t="s">
        <v>14</v>
      </c>
    </row>
    <row r="622" spans="1:9">
      <c r="A622" t="s">
        <v>9</v>
      </c>
      <c r="B622" t="s">
        <v>10</v>
      </c>
      <c r="C622">
        <v>65</v>
      </c>
      <c r="D622" t="s">
        <v>11</v>
      </c>
      <c r="E622" t="s">
        <v>1203</v>
      </c>
      <c r="F622" t="s">
        <v>1204</v>
      </c>
      <c r="G622">
        <v>594180</v>
      </c>
      <c r="I622" t="s">
        <v>14</v>
      </c>
    </row>
    <row r="623" spans="1:9">
      <c r="A623" t="s">
        <v>9</v>
      </c>
      <c r="B623" t="s">
        <v>10</v>
      </c>
      <c r="C623">
        <v>65</v>
      </c>
      <c r="D623" t="s">
        <v>11</v>
      </c>
      <c r="E623" t="s">
        <v>1205</v>
      </c>
      <c r="F623" t="s">
        <v>1206</v>
      </c>
      <c r="G623">
        <v>291860</v>
      </c>
      <c r="I623" t="s">
        <v>14</v>
      </c>
    </row>
    <row r="624" spans="1:9">
      <c r="A624" t="s">
        <v>9</v>
      </c>
      <c r="B624" t="s">
        <v>10</v>
      </c>
      <c r="C624">
        <v>65</v>
      </c>
      <c r="D624" t="s">
        <v>11</v>
      </c>
      <c r="E624" t="s">
        <v>1207</v>
      </c>
      <c r="F624" t="s">
        <v>1208</v>
      </c>
      <c r="G624">
        <v>54090</v>
      </c>
      <c r="I624" t="s">
        <v>14</v>
      </c>
    </row>
    <row r="625" spans="1:9">
      <c r="A625" t="s">
        <v>9</v>
      </c>
      <c r="B625" t="s">
        <v>10</v>
      </c>
      <c r="C625">
        <v>65</v>
      </c>
      <c r="D625" t="s">
        <v>11</v>
      </c>
      <c r="E625" t="s">
        <v>1209</v>
      </c>
      <c r="F625" t="s">
        <v>1210</v>
      </c>
      <c r="G625">
        <v>16910</v>
      </c>
      <c r="I625" t="s">
        <v>14</v>
      </c>
    </row>
    <row r="626" spans="1:9">
      <c r="A626" t="s">
        <v>9</v>
      </c>
      <c r="B626" t="s">
        <v>10</v>
      </c>
      <c r="C626">
        <v>65</v>
      </c>
      <c r="D626" t="s">
        <v>11</v>
      </c>
      <c r="E626" t="s">
        <v>1211</v>
      </c>
      <c r="F626" t="s">
        <v>1212</v>
      </c>
      <c r="G626">
        <v>8670</v>
      </c>
      <c r="I626" t="s">
        <v>14</v>
      </c>
    </row>
    <row r="627" spans="1:9">
      <c r="A627" t="s">
        <v>9</v>
      </c>
      <c r="B627" t="s">
        <v>10</v>
      </c>
      <c r="C627">
        <v>65</v>
      </c>
      <c r="D627" t="s">
        <v>11</v>
      </c>
      <c r="E627" t="s">
        <v>1213</v>
      </c>
      <c r="F627" t="s">
        <v>1214</v>
      </c>
      <c r="G627">
        <v>11860</v>
      </c>
      <c r="I627" t="s">
        <v>14</v>
      </c>
    </row>
    <row r="628" spans="1:9">
      <c r="A628" t="s">
        <v>9</v>
      </c>
      <c r="B628" t="s">
        <v>10</v>
      </c>
      <c r="C628">
        <v>65</v>
      </c>
      <c r="D628" t="s">
        <v>11</v>
      </c>
      <c r="E628" t="s">
        <v>1215</v>
      </c>
      <c r="F628" t="s">
        <v>1216</v>
      </c>
      <c r="G628">
        <v>53060</v>
      </c>
      <c r="I628" t="s">
        <v>14</v>
      </c>
    </row>
    <row r="629" spans="1:9">
      <c r="A629" t="s">
        <v>9</v>
      </c>
      <c r="B629" t="s">
        <v>10</v>
      </c>
      <c r="C629">
        <v>65</v>
      </c>
      <c r="D629" t="s">
        <v>11</v>
      </c>
      <c r="E629" t="s">
        <v>1217</v>
      </c>
      <c r="F629" t="s">
        <v>1218</v>
      </c>
      <c r="G629">
        <v>145090</v>
      </c>
      <c r="I629" t="s">
        <v>14</v>
      </c>
    </row>
    <row r="630" spans="1:9">
      <c r="A630" t="s">
        <v>9</v>
      </c>
      <c r="B630" t="s">
        <v>10</v>
      </c>
      <c r="C630">
        <v>65</v>
      </c>
      <c r="D630" t="s">
        <v>11</v>
      </c>
      <c r="E630" t="s">
        <v>1219</v>
      </c>
      <c r="F630" t="s">
        <v>1220</v>
      </c>
      <c r="G630">
        <v>63530</v>
      </c>
      <c r="I630" t="s">
        <v>14</v>
      </c>
    </row>
    <row r="631" spans="1:9">
      <c r="A631" t="s">
        <v>9</v>
      </c>
      <c r="B631" t="s">
        <v>10</v>
      </c>
      <c r="C631">
        <v>65</v>
      </c>
      <c r="D631" t="s">
        <v>11</v>
      </c>
      <c r="E631" t="s">
        <v>1221</v>
      </c>
      <c r="F631" t="s">
        <v>1222</v>
      </c>
      <c r="G631">
        <v>106650</v>
      </c>
      <c r="I631" t="s">
        <v>14</v>
      </c>
    </row>
    <row r="632" spans="1:9">
      <c r="A632" t="s">
        <v>9</v>
      </c>
      <c r="B632" t="s">
        <v>10</v>
      </c>
      <c r="C632">
        <v>65</v>
      </c>
      <c r="D632" t="s">
        <v>11</v>
      </c>
      <c r="E632" t="s">
        <v>1223</v>
      </c>
      <c r="F632" t="s">
        <v>1224</v>
      </c>
      <c r="G632">
        <v>269600</v>
      </c>
      <c r="I632" t="s">
        <v>14</v>
      </c>
    </row>
    <row r="633" spans="1:9">
      <c r="A633" t="s">
        <v>9</v>
      </c>
      <c r="B633" t="s">
        <v>10</v>
      </c>
      <c r="C633">
        <v>65</v>
      </c>
      <c r="D633" t="s">
        <v>11</v>
      </c>
      <c r="E633" t="s">
        <v>1225</v>
      </c>
      <c r="F633" t="s">
        <v>1226</v>
      </c>
      <c r="G633">
        <v>259520</v>
      </c>
      <c r="I633" t="s">
        <v>14</v>
      </c>
    </row>
    <row r="634" spans="1:9">
      <c r="A634" t="s">
        <v>9</v>
      </c>
      <c r="B634" t="s">
        <v>10</v>
      </c>
      <c r="C634">
        <v>65</v>
      </c>
      <c r="D634" t="s">
        <v>11</v>
      </c>
      <c r="E634" t="s">
        <v>1227</v>
      </c>
      <c r="F634" t="s">
        <v>1228</v>
      </c>
      <c r="G634">
        <v>414410</v>
      </c>
      <c r="I634" t="s">
        <v>14</v>
      </c>
    </row>
    <row r="635" spans="1:9">
      <c r="A635" t="s">
        <v>9</v>
      </c>
      <c r="B635" t="s">
        <v>10</v>
      </c>
      <c r="C635">
        <v>65</v>
      </c>
      <c r="D635" t="s">
        <v>11</v>
      </c>
      <c r="E635" t="s">
        <v>1229</v>
      </c>
      <c r="F635" t="s">
        <v>1230</v>
      </c>
      <c r="G635">
        <v>169820</v>
      </c>
      <c r="I635" t="s">
        <v>14</v>
      </c>
    </row>
    <row r="636" spans="1:9">
      <c r="A636" t="s">
        <v>9</v>
      </c>
      <c r="B636" t="s">
        <v>10</v>
      </c>
      <c r="C636">
        <v>65</v>
      </c>
      <c r="D636" t="s">
        <v>11</v>
      </c>
      <c r="E636" t="s">
        <v>1231</v>
      </c>
      <c r="F636" t="s">
        <v>1232</v>
      </c>
      <c r="G636">
        <v>17790</v>
      </c>
      <c r="I636" t="s">
        <v>14</v>
      </c>
    </row>
    <row r="637" spans="1:9">
      <c r="A637" t="s">
        <v>9</v>
      </c>
      <c r="B637" t="s">
        <v>10</v>
      </c>
      <c r="C637">
        <v>65</v>
      </c>
      <c r="D637" t="s">
        <v>11</v>
      </c>
      <c r="E637" t="s">
        <v>1233</v>
      </c>
      <c r="F637" t="s">
        <v>1234</v>
      </c>
      <c r="G637">
        <v>5400</v>
      </c>
      <c r="I637" t="s">
        <v>14</v>
      </c>
    </row>
    <row r="638" spans="1:9">
      <c r="A638" t="s">
        <v>9</v>
      </c>
      <c r="B638" t="s">
        <v>10</v>
      </c>
      <c r="C638">
        <v>65</v>
      </c>
      <c r="D638" t="s">
        <v>11</v>
      </c>
      <c r="E638" t="s">
        <v>1235</v>
      </c>
      <c r="F638" t="s">
        <v>1236</v>
      </c>
      <c r="G638">
        <v>7330</v>
      </c>
      <c r="I638" t="s">
        <v>14</v>
      </c>
    </row>
    <row r="639" spans="1:9">
      <c r="A639" t="s">
        <v>9</v>
      </c>
      <c r="B639" t="s">
        <v>10</v>
      </c>
      <c r="C639">
        <v>65</v>
      </c>
      <c r="D639" t="s">
        <v>11</v>
      </c>
      <c r="E639" t="s">
        <v>1237</v>
      </c>
      <c r="F639" t="s">
        <v>1238</v>
      </c>
      <c r="G639">
        <v>17170</v>
      </c>
      <c r="I639" t="s">
        <v>14</v>
      </c>
    </row>
    <row r="640" spans="1:9">
      <c r="A640" t="s">
        <v>9</v>
      </c>
      <c r="B640" t="s">
        <v>10</v>
      </c>
      <c r="C640">
        <v>65</v>
      </c>
      <c r="D640" t="s">
        <v>11</v>
      </c>
      <c r="E640" t="s">
        <v>1239</v>
      </c>
      <c r="F640" t="s">
        <v>1240</v>
      </c>
      <c r="G640">
        <v>24200</v>
      </c>
      <c r="I640" t="s">
        <v>14</v>
      </c>
    </row>
    <row r="641" spans="1:9">
      <c r="A641" t="s">
        <v>9</v>
      </c>
      <c r="B641" t="s">
        <v>10</v>
      </c>
      <c r="C641">
        <v>65</v>
      </c>
      <c r="D641" t="s">
        <v>11</v>
      </c>
      <c r="E641" t="s">
        <v>1241</v>
      </c>
      <c r="F641" t="s">
        <v>1242</v>
      </c>
      <c r="G641">
        <v>41890</v>
      </c>
      <c r="I641" t="s">
        <v>14</v>
      </c>
    </row>
    <row r="642" spans="1:9">
      <c r="A642" t="s">
        <v>9</v>
      </c>
      <c r="B642" t="s">
        <v>10</v>
      </c>
      <c r="C642">
        <v>65</v>
      </c>
      <c r="D642" t="s">
        <v>11</v>
      </c>
      <c r="E642" t="s">
        <v>1243</v>
      </c>
      <c r="F642" t="s">
        <v>1244</v>
      </c>
      <c r="G642">
        <v>101380</v>
      </c>
      <c r="I642" t="s">
        <v>14</v>
      </c>
    </row>
    <row r="643" spans="1:9">
      <c r="A643" t="s">
        <v>9</v>
      </c>
      <c r="B643" t="s">
        <v>10</v>
      </c>
      <c r="C643">
        <v>65</v>
      </c>
      <c r="D643" t="s">
        <v>11</v>
      </c>
      <c r="E643" t="s">
        <v>1245</v>
      </c>
      <c r="F643" t="s">
        <v>1246</v>
      </c>
      <c r="G643">
        <v>213200</v>
      </c>
      <c r="I643" t="s">
        <v>14</v>
      </c>
    </row>
    <row r="644" spans="1:9">
      <c r="A644" t="s">
        <v>9</v>
      </c>
      <c r="B644" t="s">
        <v>10</v>
      </c>
      <c r="C644">
        <v>65</v>
      </c>
      <c r="D644" t="s">
        <v>11</v>
      </c>
      <c r="E644" t="s">
        <v>1247</v>
      </c>
      <c r="F644" t="s">
        <v>1248</v>
      </c>
      <c r="G644">
        <v>349170</v>
      </c>
      <c r="I644" t="s">
        <v>14</v>
      </c>
    </row>
    <row r="645" spans="1:9">
      <c r="A645" t="s">
        <v>9</v>
      </c>
      <c r="B645" t="s">
        <v>10</v>
      </c>
      <c r="C645">
        <v>65</v>
      </c>
      <c r="D645" t="s">
        <v>11</v>
      </c>
      <c r="E645" t="s">
        <v>1249</v>
      </c>
      <c r="F645" t="s">
        <v>1250</v>
      </c>
      <c r="G645">
        <v>447550</v>
      </c>
      <c r="I645" t="s">
        <v>14</v>
      </c>
    </row>
    <row r="646" spans="1:9">
      <c r="A646" t="s">
        <v>9</v>
      </c>
      <c r="B646" t="s">
        <v>10</v>
      </c>
      <c r="C646">
        <v>65</v>
      </c>
      <c r="D646" t="s">
        <v>11</v>
      </c>
      <c r="E646" t="s">
        <v>1251</v>
      </c>
      <c r="F646" t="s">
        <v>1252</v>
      </c>
      <c r="G646">
        <v>185140</v>
      </c>
      <c r="I646" t="s">
        <v>14</v>
      </c>
    </row>
    <row r="647" spans="1:9">
      <c r="A647" t="s">
        <v>9</v>
      </c>
      <c r="B647" t="s">
        <v>10</v>
      </c>
      <c r="C647">
        <v>65</v>
      </c>
      <c r="D647" t="s">
        <v>11</v>
      </c>
      <c r="E647" t="s">
        <v>1253</v>
      </c>
      <c r="F647" t="s">
        <v>1254</v>
      </c>
      <c r="G647">
        <v>37920</v>
      </c>
      <c r="I647" t="s">
        <v>14</v>
      </c>
    </row>
    <row r="648" spans="1:9">
      <c r="A648" t="s">
        <v>9</v>
      </c>
      <c r="B648" t="s">
        <v>10</v>
      </c>
      <c r="C648">
        <v>65</v>
      </c>
      <c r="D648" t="s">
        <v>11</v>
      </c>
      <c r="E648" t="s">
        <v>1255</v>
      </c>
      <c r="F648" t="s">
        <v>1256</v>
      </c>
      <c r="G648">
        <v>3080</v>
      </c>
      <c r="I648" t="s">
        <v>14</v>
      </c>
    </row>
    <row r="649" spans="1:9">
      <c r="A649" t="s">
        <v>9</v>
      </c>
      <c r="B649" t="s">
        <v>10</v>
      </c>
      <c r="C649">
        <v>65</v>
      </c>
      <c r="D649" t="s">
        <v>11</v>
      </c>
      <c r="E649" t="s">
        <v>1257</v>
      </c>
      <c r="F649" t="s">
        <v>1258</v>
      </c>
      <c r="G649">
        <v>1150</v>
      </c>
      <c r="I649" t="s">
        <v>14</v>
      </c>
    </row>
    <row r="650" spans="1:9">
      <c r="A650" t="s">
        <v>9</v>
      </c>
      <c r="B650" t="s">
        <v>10</v>
      </c>
      <c r="C650">
        <v>65</v>
      </c>
      <c r="D650" t="s">
        <v>11</v>
      </c>
      <c r="E650" t="s">
        <v>1259</v>
      </c>
      <c r="F650" t="s">
        <v>1260</v>
      </c>
      <c r="G650">
        <v>4060</v>
      </c>
      <c r="I650" t="s">
        <v>14</v>
      </c>
    </row>
    <row r="651" spans="1:9">
      <c r="A651" t="s">
        <v>9</v>
      </c>
      <c r="B651" t="s">
        <v>10</v>
      </c>
      <c r="C651">
        <v>65</v>
      </c>
      <c r="D651" t="s">
        <v>11</v>
      </c>
      <c r="E651" t="s">
        <v>1261</v>
      </c>
      <c r="F651" t="s">
        <v>1262</v>
      </c>
      <c r="G651">
        <v>15380</v>
      </c>
      <c r="I651" t="s">
        <v>14</v>
      </c>
    </row>
    <row r="652" spans="1:9">
      <c r="A652" t="s">
        <v>9</v>
      </c>
      <c r="B652" t="s">
        <v>10</v>
      </c>
      <c r="C652">
        <v>65</v>
      </c>
      <c r="D652" t="s">
        <v>11</v>
      </c>
      <c r="E652" t="s">
        <v>1263</v>
      </c>
      <c r="F652" t="s">
        <v>1264</v>
      </c>
      <c r="G652">
        <v>49990</v>
      </c>
      <c r="I652" t="s">
        <v>14</v>
      </c>
    </row>
    <row r="653" spans="1:9">
      <c r="A653" t="s">
        <v>9</v>
      </c>
      <c r="B653" t="s">
        <v>10</v>
      </c>
      <c r="C653">
        <v>65</v>
      </c>
      <c r="D653" t="s">
        <v>11</v>
      </c>
      <c r="E653" t="s">
        <v>1265</v>
      </c>
      <c r="F653" t="s">
        <v>1266</v>
      </c>
      <c r="G653">
        <v>66700</v>
      </c>
      <c r="I653" t="s">
        <v>14</v>
      </c>
    </row>
    <row r="654" spans="1:9">
      <c r="A654" t="s">
        <v>9</v>
      </c>
      <c r="B654" t="s">
        <v>10</v>
      </c>
      <c r="C654">
        <v>65</v>
      </c>
      <c r="D654" t="s">
        <v>11</v>
      </c>
      <c r="E654" t="s">
        <v>1267</v>
      </c>
      <c r="F654" t="s">
        <v>1268</v>
      </c>
      <c r="G654">
        <v>61170</v>
      </c>
      <c r="I654" t="s">
        <v>14</v>
      </c>
    </row>
    <row r="655" spans="1:9">
      <c r="A655" t="s">
        <v>9</v>
      </c>
      <c r="B655" t="s">
        <v>10</v>
      </c>
      <c r="C655">
        <v>65</v>
      </c>
      <c r="D655" t="s">
        <v>11</v>
      </c>
      <c r="E655" t="s">
        <v>1269</v>
      </c>
      <c r="F655" t="s">
        <v>1270</v>
      </c>
      <c r="G655">
        <v>82400</v>
      </c>
      <c r="I655" t="s">
        <v>14</v>
      </c>
    </row>
    <row r="656" spans="1:9">
      <c r="A656" t="s">
        <v>9</v>
      </c>
      <c r="B656" t="s">
        <v>10</v>
      </c>
      <c r="C656">
        <v>65</v>
      </c>
      <c r="D656" t="s">
        <v>11</v>
      </c>
      <c r="E656" t="s">
        <v>1271</v>
      </c>
      <c r="F656" t="s">
        <v>1272</v>
      </c>
      <c r="G656">
        <v>143950</v>
      </c>
      <c r="I656" t="s">
        <v>14</v>
      </c>
    </row>
    <row r="657" spans="1:9">
      <c r="A657" t="s">
        <v>9</v>
      </c>
      <c r="B657" t="s">
        <v>10</v>
      </c>
      <c r="C657">
        <v>65</v>
      </c>
      <c r="D657" t="s">
        <v>11</v>
      </c>
      <c r="E657" t="s">
        <v>1273</v>
      </c>
      <c r="F657" t="s">
        <v>1274</v>
      </c>
      <c r="G657">
        <v>366450</v>
      </c>
      <c r="I657" t="s">
        <v>14</v>
      </c>
    </row>
    <row r="658" spans="1:9">
      <c r="A658" t="s">
        <v>9</v>
      </c>
      <c r="B658" t="s">
        <v>10</v>
      </c>
      <c r="C658">
        <v>65</v>
      </c>
      <c r="D658" t="s">
        <v>11</v>
      </c>
      <c r="E658" t="s">
        <v>1275</v>
      </c>
      <c r="F658" t="s">
        <v>1276</v>
      </c>
      <c r="G658">
        <v>292180</v>
      </c>
      <c r="I658" t="s">
        <v>14</v>
      </c>
    </row>
    <row r="659" spans="1:9">
      <c r="A659" t="s">
        <v>9</v>
      </c>
      <c r="B659" t="s">
        <v>10</v>
      </c>
      <c r="C659">
        <v>65</v>
      </c>
      <c r="D659" t="s">
        <v>11</v>
      </c>
      <c r="E659" t="s">
        <v>1277</v>
      </c>
      <c r="F659" t="s">
        <v>1278</v>
      </c>
      <c r="G659">
        <v>39300</v>
      </c>
      <c r="I659" t="s">
        <v>14</v>
      </c>
    </row>
    <row r="660" spans="1:9">
      <c r="A660" t="s">
        <v>9</v>
      </c>
      <c r="B660" t="s">
        <v>10</v>
      </c>
      <c r="C660">
        <v>65</v>
      </c>
      <c r="D660" t="s">
        <v>11</v>
      </c>
      <c r="E660" t="s">
        <v>1279</v>
      </c>
      <c r="F660" t="s">
        <v>1280</v>
      </c>
      <c r="G660">
        <v>920</v>
      </c>
      <c r="I660" t="s">
        <v>14</v>
      </c>
    </row>
    <row r="661" spans="1:9">
      <c r="A661" t="s">
        <v>9</v>
      </c>
      <c r="B661" t="s">
        <v>10</v>
      </c>
      <c r="C661">
        <v>65</v>
      </c>
      <c r="D661" t="s">
        <v>11</v>
      </c>
      <c r="E661" t="s">
        <v>1281</v>
      </c>
      <c r="F661" t="s">
        <v>1282</v>
      </c>
      <c r="G661">
        <v>1200</v>
      </c>
      <c r="I661" t="s">
        <v>14</v>
      </c>
    </row>
    <row r="662" spans="1:9">
      <c r="A662" t="s">
        <v>9</v>
      </c>
      <c r="B662" t="s">
        <v>10</v>
      </c>
      <c r="C662">
        <v>65</v>
      </c>
      <c r="D662" t="s">
        <v>11</v>
      </c>
      <c r="E662" t="s">
        <v>1283</v>
      </c>
      <c r="F662" t="s">
        <v>1284</v>
      </c>
      <c r="G662">
        <v>3970</v>
      </c>
      <c r="I662" t="s">
        <v>14</v>
      </c>
    </row>
    <row r="663" spans="1:9">
      <c r="A663" t="s">
        <v>9</v>
      </c>
      <c r="B663" t="s">
        <v>10</v>
      </c>
      <c r="C663">
        <v>65</v>
      </c>
      <c r="D663" t="s">
        <v>11</v>
      </c>
      <c r="E663" t="s">
        <v>1285</v>
      </c>
      <c r="F663" t="s">
        <v>1286</v>
      </c>
      <c r="G663">
        <v>12960</v>
      </c>
      <c r="I663" t="s">
        <v>14</v>
      </c>
    </row>
    <row r="664" spans="1:9">
      <c r="A664" t="s">
        <v>9</v>
      </c>
      <c r="B664" t="s">
        <v>10</v>
      </c>
      <c r="C664">
        <v>65</v>
      </c>
      <c r="D664" t="s">
        <v>11</v>
      </c>
      <c r="E664" t="s">
        <v>1287</v>
      </c>
      <c r="F664" t="s">
        <v>1288</v>
      </c>
      <c r="G664">
        <v>649620</v>
      </c>
      <c r="I664" t="s">
        <v>14</v>
      </c>
    </row>
    <row r="665" spans="1:9">
      <c r="A665" t="s">
        <v>9</v>
      </c>
      <c r="B665" t="s">
        <v>10</v>
      </c>
      <c r="C665">
        <v>65</v>
      </c>
      <c r="D665" t="s">
        <v>11</v>
      </c>
      <c r="E665" t="s">
        <v>1289</v>
      </c>
      <c r="F665" t="s">
        <v>1290</v>
      </c>
      <c r="G665">
        <v>431300</v>
      </c>
      <c r="I665" t="s">
        <v>14</v>
      </c>
    </row>
    <row r="666" spans="1:9">
      <c r="A666" t="s">
        <v>9</v>
      </c>
      <c r="B666" t="s">
        <v>10</v>
      </c>
      <c r="C666">
        <v>65</v>
      </c>
      <c r="D666" t="s">
        <v>11</v>
      </c>
      <c r="E666" t="s">
        <v>1291</v>
      </c>
      <c r="F666" t="s">
        <v>1292</v>
      </c>
      <c r="G666">
        <v>156100</v>
      </c>
      <c r="I666" t="s">
        <v>14</v>
      </c>
    </row>
    <row r="667" spans="1:9">
      <c r="A667" t="s">
        <v>9</v>
      </c>
      <c r="B667" t="s">
        <v>10</v>
      </c>
      <c r="C667">
        <v>65</v>
      </c>
      <c r="D667" t="s">
        <v>11</v>
      </c>
      <c r="E667" t="s">
        <v>1293</v>
      </c>
      <c r="F667" t="s">
        <v>1294</v>
      </c>
      <c r="G667">
        <v>178530</v>
      </c>
      <c r="I667" t="s">
        <v>14</v>
      </c>
    </row>
    <row r="668" spans="1:9">
      <c r="A668" t="s">
        <v>9</v>
      </c>
      <c r="B668" t="s">
        <v>10</v>
      </c>
      <c r="C668">
        <v>65</v>
      </c>
      <c r="D668" t="s">
        <v>11</v>
      </c>
      <c r="E668" t="s">
        <v>1295</v>
      </c>
      <c r="F668" t="s">
        <v>1296</v>
      </c>
      <c r="G668">
        <v>281790</v>
      </c>
      <c r="I668" t="s">
        <v>14</v>
      </c>
    </row>
    <row r="669" spans="1:9">
      <c r="A669" t="s">
        <v>9</v>
      </c>
      <c r="B669" t="s">
        <v>10</v>
      </c>
      <c r="C669">
        <v>65</v>
      </c>
      <c r="D669" t="s">
        <v>11</v>
      </c>
      <c r="E669" t="s">
        <v>1297</v>
      </c>
      <c r="F669" t="s">
        <v>1298</v>
      </c>
      <c r="G669">
        <v>559660</v>
      </c>
      <c r="I669" t="s">
        <v>14</v>
      </c>
    </row>
    <row r="670" spans="1:9">
      <c r="A670" t="s">
        <v>9</v>
      </c>
      <c r="B670" t="s">
        <v>10</v>
      </c>
      <c r="C670">
        <v>65</v>
      </c>
      <c r="D670" t="s">
        <v>11</v>
      </c>
      <c r="E670" t="s">
        <v>1299</v>
      </c>
      <c r="F670" t="s">
        <v>1300</v>
      </c>
      <c r="G670">
        <v>581820</v>
      </c>
      <c r="I670" t="s">
        <v>14</v>
      </c>
    </row>
    <row r="671" spans="1:9">
      <c r="A671" t="s">
        <v>9</v>
      </c>
      <c r="B671" t="s">
        <v>10</v>
      </c>
      <c r="C671">
        <v>65</v>
      </c>
      <c r="D671" t="s">
        <v>11</v>
      </c>
      <c r="E671" t="s">
        <v>1301</v>
      </c>
      <c r="F671" t="s">
        <v>1302</v>
      </c>
      <c r="G671">
        <v>244240</v>
      </c>
      <c r="I671" t="s">
        <v>14</v>
      </c>
    </row>
    <row r="672" spans="1:9">
      <c r="A672" t="s">
        <v>9</v>
      </c>
      <c r="B672" t="s">
        <v>10</v>
      </c>
      <c r="C672">
        <v>65</v>
      </c>
      <c r="D672" t="s">
        <v>11</v>
      </c>
      <c r="E672" t="s">
        <v>1303</v>
      </c>
      <c r="F672" t="s">
        <v>1304</v>
      </c>
      <c r="G672">
        <v>40680</v>
      </c>
      <c r="I672" t="s">
        <v>14</v>
      </c>
    </row>
    <row r="673" spans="1:9">
      <c r="A673" t="s">
        <v>9</v>
      </c>
      <c r="B673" t="s">
        <v>10</v>
      </c>
      <c r="C673">
        <v>65</v>
      </c>
      <c r="D673" t="s">
        <v>11</v>
      </c>
      <c r="E673" t="s">
        <v>1305</v>
      </c>
      <c r="F673" t="s">
        <v>1306</v>
      </c>
      <c r="G673">
        <v>12170</v>
      </c>
      <c r="I673" t="s">
        <v>14</v>
      </c>
    </row>
    <row r="674" spans="1:9">
      <c r="A674" t="s">
        <v>9</v>
      </c>
      <c r="B674" t="s">
        <v>10</v>
      </c>
      <c r="C674">
        <v>65</v>
      </c>
      <c r="D674" t="s">
        <v>11</v>
      </c>
      <c r="E674" t="s">
        <v>1307</v>
      </c>
      <c r="F674" t="s">
        <v>1308</v>
      </c>
      <c r="G674">
        <v>21370</v>
      </c>
      <c r="I674" t="s">
        <v>14</v>
      </c>
    </row>
    <row r="675" spans="1:9">
      <c r="A675" t="s">
        <v>9</v>
      </c>
      <c r="B675" t="s">
        <v>10</v>
      </c>
      <c r="C675">
        <v>65</v>
      </c>
      <c r="D675" t="s">
        <v>11</v>
      </c>
      <c r="E675" t="s">
        <v>1309</v>
      </c>
      <c r="F675" t="s">
        <v>1310</v>
      </c>
      <c r="G675">
        <v>24260</v>
      </c>
      <c r="I675" t="s">
        <v>14</v>
      </c>
    </row>
    <row r="676" spans="1:9">
      <c r="A676" t="s">
        <v>9</v>
      </c>
      <c r="B676" t="s">
        <v>10</v>
      </c>
      <c r="C676">
        <v>65</v>
      </c>
      <c r="D676" t="s">
        <v>11</v>
      </c>
      <c r="E676" t="s">
        <v>1311</v>
      </c>
      <c r="F676" t="s">
        <v>1312</v>
      </c>
      <c r="G676">
        <v>24200</v>
      </c>
      <c r="I676" t="s">
        <v>14</v>
      </c>
    </row>
    <row r="677" spans="1:9">
      <c r="A677" t="s">
        <v>9</v>
      </c>
      <c r="B677" t="s">
        <v>10</v>
      </c>
      <c r="C677">
        <v>65</v>
      </c>
      <c r="D677" t="s">
        <v>11</v>
      </c>
      <c r="E677" t="s">
        <v>1313</v>
      </c>
      <c r="F677" t="s">
        <v>1314</v>
      </c>
      <c r="G677">
        <v>35040</v>
      </c>
      <c r="I677" t="s">
        <v>14</v>
      </c>
    </row>
    <row r="678" spans="1:9">
      <c r="A678" t="s">
        <v>9</v>
      </c>
      <c r="B678" t="s">
        <v>10</v>
      </c>
      <c r="C678">
        <v>65</v>
      </c>
      <c r="D678" t="s">
        <v>11</v>
      </c>
      <c r="E678" t="s">
        <v>1315</v>
      </c>
      <c r="F678" t="s">
        <v>1316</v>
      </c>
      <c r="G678">
        <v>123750</v>
      </c>
      <c r="I678" t="s">
        <v>14</v>
      </c>
    </row>
    <row r="679" spans="1:9">
      <c r="A679" t="s">
        <v>9</v>
      </c>
      <c r="B679" t="s">
        <v>10</v>
      </c>
      <c r="C679">
        <v>65</v>
      </c>
      <c r="D679" t="s">
        <v>11</v>
      </c>
      <c r="E679" t="s">
        <v>1317</v>
      </c>
      <c r="F679" t="s">
        <v>1318</v>
      </c>
      <c r="G679">
        <v>153540</v>
      </c>
      <c r="I679" t="s">
        <v>14</v>
      </c>
    </row>
    <row r="680" spans="1:9">
      <c r="A680" t="s">
        <v>9</v>
      </c>
      <c r="B680" t="s">
        <v>10</v>
      </c>
      <c r="C680">
        <v>65</v>
      </c>
      <c r="D680" t="s">
        <v>11</v>
      </c>
      <c r="E680" t="s">
        <v>1319</v>
      </c>
      <c r="F680" t="s">
        <v>1320</v>
      </c>
      <c r="G680">
        <v>172500</v>
      </c>
      <c r="I680" t="s">
        <v>14</v>
      </c>
    </row>
    <row r="681" spans="1:9">
      <c r="A681" t="s">
        <v>9</v>
      </c>
      <c r="B681" t="s">
        <v>10</v>
      </c>
      <c r="C681">
        <v>65</v>
      </c>
      <c r="D681" t="s">
        <v>11</v>
      </c>
      <c r="E681" t="s">
        <v>1321</v>
      </c>
      <c r="F681" t="s">
        <v>1322</v>
      </c>
      <c r="G681">
        <v>379990</v>
      </c>
      <c r="I681" t="s">
        <v>14</v>
      </c>
    </row>
    <row r="682" spans="1:9">
      <c r="A682" t="s">
        <v>9</v>
      </c>
      <c r="B682" t="s">
        <v>10</v>
      </c>
      <c r="C682">
        <v>65</v>
      </c>
      <c r="D682" t="s">
        <v>11</v>
      </c>
      <c r="E682" t="s">
        <v>1323</v>
      </c>
      <c r="F682" t="s">
        <v>1324</v>
      </c>
      <c r="G682">
        <v>404980</v>
      </c>
      <c r="I682" t="s">
        <v>14</v>
      </c>
    </row>
    <row r="683" spans="1:9">
      <c r="A683" t="s">
        <v>9</v>
      </c>
      <c r="B683" t="s">
        <v>10</v>
      </c>
      <c r="C683">
        <v>65</v>
      </c>
      <c r="D683" t="s">
        <v>11</v>
      </c>
      <c r="E683" t="s">
        <v>1325</v>
      </c>
      <c r="F683" t="s">
        <v>1326</v>
      </c>
      <c r="G683">
        <v>67160</v>
      </c>
      <c r="I683" t="s">
        <v>14</v>
      </c>
    </row>
    <row r="684" spans="1:9">
      <c r="A684" t="s">
        <v>9</v>
      </c>
      <c r="B684" t="s">
        <v>10</v>
      </c>
      <c r="C684">
        <v>65</v>
      </c>
      <c r="D684" t="s">
        <v>11</v>
      </c>
      <c r="E684" t="s">
        <v>1327</v>
      </c>
      <c r="F684" t="s">
        <v>1328</v>
      </c>
      <c r="G684">
        <v>8740</v>
      </c>
      <c r="I684" t="s">
        <v>14</v>
      </c>
    </row>
    <row r="685" spans="1:9">
      <c r="A685" t="s">
        <v>9</v>
      </c>
      <c r="B685" t="s">
        <v>10</v>
      </c>
      <c r="C685">
        <v>65</v>
      </c>
      <c r="D685" t="s">
        <v>11</v>
      </c>
      <c r="E685" t="s">
        <v>1329</v>
      </c>
      <c r="F685" t="s">
        <v>1330</v>
      </c>
      <c r="G685">
        <v>2040</v>
      </c>
      <c r="I685" t="s">
        <v>14</v>
      </c>
    </row>
    <row r="686" spans="1:9">
      <c r="A686" t="s">
        <v>9</v>
      </c>
      <c r="B686" t="s">
        <v>10</v>
      </c>
      <c r="C686">
        <v>65</v>
      </c>
      <c r="D686" t="s">
        <v>11</v>
      </c>
      <c r="E686" t="s">
        <v>1331</v>
      </c>
      <c r="F686" t="s">
        <v>1332</v>
      </c>
      <c r="G686">
        <v>11300</v>
      </c>
      <c r="I686" t="s">
        <v>14</v>
      </c>
    </row>
    <row r="687" spans="1:9">
      <c r="A687" t="s">
        <v>9</v>
      </c>
      <c r="B687" t="s">
        <v>10</v>
      </c>
      <c r="C687">
        <v>65</v>
      </c>
      <c r="D687" t="s">
        <v>11</v>
      </c>
      <c r="E687" t="s">
        <v>1333</v>
      </c>
      <c r="F687" t="s">
        <v>1334</v>
      </c>
      <c r="G687">
        <v>18390</v>
      </c>
      <c r="I687" t="s">
        <v>14</v>
      </c>
    </row>
    <row r="688" spans="1:9">
      <c r="A688" t="s">
        <v>9</v>
      </c>
      <c r="B688" t="s">
        <v>10</v>
      </c>
      <c r="C688">
        <v>65</v>
      </c>
      <c r="D688" t="s">
        <v>11</v>
      </c>
      <c r="E688" t="s">
        <v>1335</v>
      </c>
      <c r="F688" t="s">
        <v>1336</v>
      </c>
      <c r="G688">
        <v>48030</v>
      </c>
      <c r="I688" t="s">
        <v>14</v>
      </c>
    </row>
    <row r="689" spans="1:9">
      <c r="A689" t="s">
        <v>9</v>
      </c>
      <c r="B689" t="s">
        <v>10</v>
      </c>
      <c r="C689">
        <v>65</v>
      </c>
      <c r="D689" t="s">
        <v>11</v>
      </c>
      <c r="E689" t="s">
        <v>1337</v>
      </c>
      <c r="F689" t="s">
        <v>1338</v>
      </c>
      <c r="G689">
        <v>58120</v>
      </c>
      <c r="I689" t="s">
        <v>14</v>
      </c>
    </row>
    <row r="690" spans="1:9">
      <c r="A690" t="s">
        <v>9</v>
      </c>
      <c r="B690" t="s">
        <v>10</v>
      </c>
      <c r="C690">
        <v>65</v>
      </c>
      <c r="D690" t="s">
        <v>11</v>
      </c>
      <c r="E690" t="s">
        <v>1339</v>
      </c>
      <c r="F690" t="s">
        <v>1340</v>
      </c>
      <c r="G690">
        <v>176740</v>
      </c>
      <c r="I690" t="s">
        <v>14</v>
      </c>
    </row>
    <row r="691" spans="1:9">
      <c r="A691" t="s">
        <v>9</v>
      </c>
      <c r="B691" t="s">
        <v>10</v>
      </c>
      <c r="C691">
        <v>65</v>
      </c>
      <c r="D691" t="s">
        <v>11</v>
      </c>
      <c r="E691" t="s">
        <v>1341</v>
      </c>
      <c r="F691" t="s">
        <v>1342</v>
      </c>
      <c r="G691">
        <v>256770</v>
      </c>
      <c r="I691" t="s">
        <v>14</v>
      </c>
    </row>
    <row r="692" spans="1:9">
      <c r="A692" t="s">
        <v>9</v>
      </c>
      <c r="B692" t="s">
        <v>10</v>
      </c>
      <c r="C692">
        <v>65</v>
      </c>
      <c r="D692" t="s">
        <v>11</v>
      </c>
      <c r="E692" t="s">
        <v>1343</v>
      </c>
      <c r="F692" t="s">
        <v>1344</v>
      </c>
      <c r="G692">
        <v>425000</v>
      </c>
      <c r="I692" t="s">
        <v>14</v>
      </c>
    </row>
    <row r="693" spans="1:9">
      <c r="A693" t="s">
        <v>9</v>
      </c>
      <c r="B693" t="s">
        <v>10</v>
      </c>
      <c r="C693">
        <v>65</v>
      </c>
      <c r="D693" t="s">
        <v>11</v>
      </c>
      <c r="E693" t="s">
        <v>1345</v>
      </c>
      <c r="F693" t="s">
        <v>1346</v>
      </c>
      <c r="G693">
        <v>761400</v>
      </c>
      <c r="I693" t="s">
        <v>14</v>
      </c>
    </row>
    <row r="694" spans="1:9">
      <c r="A694" t="s">
        <v>9</v>
      </c>
      <c r="B694" t="s">
        <v>10</v>
      </c>
      <c r="C694">
        <v>65</v>
      </c>
      <c r="D694" t="s">
        <v>11</v>
      </c>
      <c r="E694" t="s">
        <v>1347</v>
      </c>
      <c r="F694" t="s">
        <v>1348</v>
      </c>
      <c r="G694">
        <v>579220</v>
      </c>
      <c r="I694" t="s">
        <v>14</v>
      </c>
    </row>
    <row r="695" spans="1:9">
      <c r="A695" t="s">
        <v>9</v>
      </c>
      <c r="B695" t="s">
        <v>10</v>
      </c>
      <c r="C695">
        <v>65</v>
      </c>
      <c r="D695" t="s">
        <v>11</v>
      </c>
      <c r="E695" t="s">
        <v>1349</v>
      </c>
      <c r="F695" t="s">
        <v>1350</v>
      </c>
      <c r="G695">
        <v>231900</v>
      </c>
      <c r="I695" t="s">
        <v>14</v>
      </c>
    </row>
    <row r="696" spans="1:9">
      <c r="A696" t="s">
        <v>9</v>
      </c>
      <c r="B696" t="s">
        <v>10</v>
      </c>
      <c r="C696">
        <v>65</v>
      </c>
      <c r="D696" t="s">
        <v>11</v>
      </c>
      <c r="E696" t="s">
        <v>1351</v>
      </c>
      <c r="F696" t="s">
        <v>1352</v>
      </c>
      <c r="G696">
        <v>54870</v>
      </c>
      <c r="I696" t="s">
        <v>14</v>
      </c>
    </row>
    <row r="697" spans="1:9">
      <c r="A697" t="s">
        <v>9</v>
      </c>
      <c r="B697" t="s">
        <v>10</v>
      </c>
      <c r="C697">
        <v>65</v>
      </c>
      <c r="D697" t="s">
        <v>11</v>
      </c>
      <c r="E697" t="s">
        <v>1353</v>
      </c>
      <c r="F697" t="s">
        <v>1354</v>
      </c>
      <c r="G697">
        <v>16630</v>
      </c>
      <c r="I697" t="s">
        <v>14</v>
      </c>
    </row>
    <row r="698" spans="1:9">
      <c r="A698" t="s">
        <v>9</v>
      </c>
      <c r="B698" t="s">
        <v>10</v>
      </c>
      <c r="C698">
        <v>65</v>
      </c>
      <c r="D698" t="s">
        <v>11</v>
      </c>
      <c r="E698" t="s">
        <v>1355</v>
      </c>
      <c r="F698" t="s">
        <v>1356</v>
      </c>
      <c r="G698">
        <v>5890</v>
      </c>
      <c r="I698" t="s">
        <v>14</v>
      </c>
    </row>
    <row r="699" spans="1:9">
      <c r="A699" t="s">
        <v>9</v>
      </c>
      <c r="B699" t="s">
        <v>10</v>
      </c>
      <c r="C699">
        <v>65</v>
      </c>
      <c r="D699" t="s">
        <v>11</v>
      </c>
      <c r="E699" t="s">
        <v>1357</v>
      </c>
      <c r="F699" t="s">
        <v>1358</v>
      </c>
      <c r="G699">
        <v>5830</v>
      </c>
      <c r="I699" t="s">
        <v>14</v>
      </c>
    </row>
    <row r="700" spans="1:9">
      <c r="A700" t="s">
        <v>9</v>
      </c>
      <c r="B700" t="s">
        <v>10</v>
      </c>
      <c r="C700">
        <v>65</v>
      </c>
      <c r="D700" t="s">
        <v>11</v>
      </c>
      <c r="E700" t="s">
        <v>1359</v>
      </c>
      <c r="F700" t="s">
        <v>1360</v>
      </c>
      <c r="G700">
        <v>5230</v>
      </c>
      <c r="I700" t="s">
        <v>14</v>
      </c>
    </row>
    <row r="701" spans="1:9">
      <c r="A701" t="s">
        <v>9</v>
      </c>
      <c r="B701" t="s">
        <v>10</v>
      </c>
      <c r="C701">
        <v>65</v>
      </c>
      <c r="D701" t="s">
        <v>11</v>
      </c>
      <c r="E701" t="s">
        <v>1361</v>
      </c>
      <c r="F701" t="s">
        <v>1362</v>
      </c>
      <c r="G701">
        <v>78640</v>
      </c>
      <c r="I701" t="s">
        <v>14</v>
      </c>
    </row>
    <row r="702" spans="1:9">
      <c r="A702" t="s">
        <v>9</v>
      </c>
      <c r="B702" t="s">
        <v>10</v>
      </c>
      <c r="C702">
        <v>65</v>
      </c>
      <c r="D702" t="s">
        <v>11</v>
      </c>
      <c r="E702" t="s">
        <v>1363</v>
      </c>
      <c r="F702" t="s">
        <v>1364</v>
      </c>
      <c r="G702">
        <v>116210</v>
      </c>
      <c r="I702" t="s">
        <v>14</v>
      </c>
    </row>
    <row r="703" spans="1:9">
      <c r="A703" t="s">
        <v>9</v>
      </c>
      <c r="B703" t="s">
        <v>10</v>
      </c>
      <c r="C703">
        <v>65</v>
      </c>
      <c r="D703" t="s">
        <v>11</v>
      </c>
      <c r="E703" t="s">
        <v>1365</v>
      </c>
      <c r="F703" t="s">
        <v>1366</v>
      </c>
      <c r="G703">
        <v>119020</v>
      </c>
      <c r="I703" t="s">
        <v>14</v>
      </c>
    </row>
    <row r="704" spans="1:9">
      <c r="A704" t="s">
        <v>9</v>
      </c>
      <c r="B704" t="s">
        <v>10</v>
      </c>
      <c r="C704">
        <v>65</v>
      </c>
      <c r="D704" t="s">
        <v>11</v>
      </c>
      <c r="E704" t="s">
        <v>1367</v>
      </c>
      <c r="F704" t="s">
        <v>1368</v>
      </c>
      <c r="G704">
        <v>224040</v>
      </c>
      <c r="I704" t="s">
        <v>14</v>
      </c>
    </row>
    <row r="705" spans="1:9">
      <c r="A705" t="s">
        <v>9</v>
      </c>
      <c r="B705" t="s">
        <v>10</v>
      </c>
      <c r="C705">
        <v>65</v>
      </c>
      <c r="D705" t="s">
        <v>11</v>
      </c>
      <c r="E705" t="s">
        <v>1369</v>
      </c>
      <c r="F705" t="s">
        <v>1370</v>
      </c>
      <c r="G705">
        <v>231480</v>
      </c>
      <c r="I705" t="s">
        <v>14</v>
      </c>
    </row>
    <row r="706" spans="1:9">
      <c r="A706" t="s">
        <v>9</v>
      </c>
      <c r="B706" t="s">
        <v>10</v>
      </c>
      <c r="C706">
        <v>65</v>
      </c>
      <c r="D706" t="s">
        <v>11</v>
      </c>
      <c r="E706" t="s">
        <v>1371</v>
      </c>
      <c r="F706" t="s">
        <v>1372</v>
      </c>
      <c r="G706">
        <v>138830</v>
      </c>
      <c r="I706" t="s">
        <v>14</v>
      </c>
    </row>
    <row r="707" spans="1:9">
      <c r="A707" t="s">
        <v>9</v>
      </c>
      <c r="B707" t="s">
        <v>10</v>
      </c>
      <c r="C707">
        <v>65</v>
      </c>
      <c r="D707" t="s">
        <v>11</v>
      </c>
      <c r="E707" t="s">
        <v>1373</v>
      </c>
      <c r="F707" t="s">
        <v>1374</v>
      </c>
      <c r="G707">
        <v>18220</v>
      </c>
      <c r="I707" t="s">
        <v>14</v>
      </c>
    </row>
    <row r="708" spans="1:9">
      <c r="A708" t="s">
        <v>9</v>
      </c>
      <c r="B708" t="s">
        <v>10</v>
      </c>
      <c r="C708">
        <v>65</v>
      </c>
      <c r="D708" t="s">
        <v>11</v>
      </c>
      <c r="E708" t="s">
        <v>1375</v>
      </c>
      <c r="F708" t="s">
        <v>1376</v>
      </c>
      <c r="G708">
        <v>1500</v>
      </c>
      <c r="I708" t="s">
        <v>14</v>
      </c>
    </row>
    <row r="709" spans="1:9">
      <c r="A709" t="s">
        <v>9</v>
      </c>
      <c r="B709" t="s">
        <v>10</v>
      </c>
      <c r="C709">
        <v>65</v>
      </c>
      <c r="D709" t="s">
        <v>11</v>
      </c>
      <c r="E709" t="s">
        <v>1377</v>
      </c>
      <c r="F709" t="s">
        <v>1378</v>
      </c>
      <c r="G709">
        <v>44720</v>
      </c>
      <c r="I709" t="s">
        <v>14</v>
      </c>
    </row>
    <row r="710" spans="1:9">
      <c r="A710" t="s">
        <v>9</v>
      </c>
      <c r="B710" t="s">
        <v>10</v>
      </c>
      <c r="C710">
        <v>65</v>
      </c>
      <c r="D710" t="s">
        <v>11</v>
      </c>
      <c r="E710" t="s">
        <v>1379</v>
      </c>
      <c r="F710" t="s">
        <v>1380</v>
      </c>
      <c r="G710">
        <v>5320</v>
      </c>
      <c r="I710" t="s">
        <v>14</v>
      </c>
    </row>
    <row r="711" spans="1:9">
      <c r="A711" t="s">
        <v>9</v>
      </c>
      <c r="B711" t="s">
        <v>10</v>
      </c>
      <c r="C711">
        <v>65</v>
      </c>
      <c r="D711" t="s">
        <v>11</v>
      </c>
      <c r="E711" t="s">
        <v>1381</v>
      </c>
      <c r="F711" t="s">
        <v>1382</v>
      </c>
      <c r="G711">
        <v>9530</v>
      </c>
      <c r="I711" t="s">
        <v>14</v>
      </c>
    </row>
    <row r="712" spans="1:9">
      <c r="A712" t="s">
        <v>9</v>
      </c>
      <c r="B712" t="s">
        <v>10</v>
      </c>
      <c r="C712">
        <v>65</v>
      </c>
      <c r="D712" t="s">
        <v>11</v>
      </c>
      <c r="E712" t="s">
        <v>1383</v>
      </c>
      <c r="F712" t="s">
        <v>1384</v>
      </c>
      <c r="G712">
        <v>12300</v>
      </c>
      <c r="I712" t="s">
        <v>14</v>
      </c>
    </row>
    <row r="713" spans="1:9">
      <c r="A713" t="s">
        <v>9</v>
      </c>
      <c r="B713" t="s">
        <v>10</v>
      </c>
      <c r="C713">
        <v>65</v>
      </c>
      <c r="D713" t="s">
        <v>11</v>
      </c>
      <c r="E713" t="s">
        <v>1385</v>
      </c>
      <c r="F713" t="s">
        <v>1386</v>
      </c>
      <c r="G713">
        <v>25200</v>
      </c>
      <c r="I713" t="s">
        <v>14</v>
      </c>
    </row>
    <row r="714" spans="1:9">
      <c r="A714" t="s">
        <v>9</v>
      </c>
      <c r="B714" t="s">
        <v>10</v>
      </c>
      <c r="C714">
        <v>65</v>
      </c>
      <c r="D714" t="s">
        <v>11</v>
      </c>
      <c r="E714" t="s">
        <v>1387</v>
      </c>
      <c r="F714" t="s">
        <v>1388</v>
      </c>
      <c r="G714">
        <v>119380</v>
      </c>
      <c r="I714" t="s">
        <v>14</v>
      </c>
    </row>
    <row r="715" spans="1:9">
      <c r="A715" t="s">
        <v>9</v>
      </c>
      <c r="B715" t="s">
        <v>10</v>
      </c>
      <c r="C715">
        <v>65</v>
      </c>
      <c r="D715" t="s">
        <v>11</v>
      </c>
      <c r="E715" t="s">
        <v>1389</v>
      </c>
      <c r="F715" t="s">
        <v>1390</v>
      </c>
      <c r="G715">
        <v>149500</v>
      </c>
      <c r="I715" t="s">
        <v>14</v>
      </c>
    </row>
    <row r="716" spans="1:9">
      <c r="A716" t="s">
        <v>9</v>
      </c>
      <c r="B716" t="s">
        <v>10</v>
      </c>
      <c r="C716">
        <v>65</v>
      </c>
      <c r="D716" t="s">
        <v>11</v>
      </c>
      <c r="E716" t="s">
        <v>1391</v>
      </c>
      <c r="F716" t="s">
        <v>1392</v>
      </c>
      <c r="G716">
        <v>238390</v>
      </c>
      <c r="I716" t="s">
        <v>14</v>
      </c>
    </row>
    <row r="717" spans="1:9">
      <c r="A717" t="s">
        <v>9</v>
      </c>
      <c r="B717" t="s">
        <v>10</v>
      </c>
      <c r="C717">
        <v>65</v>
      </c>
      <c r="D717" t="s">
        <v>11</v>
      </c>
      <c r="E717" t="s">
        <v>1393</v>
      </c>
      <c r="F717" t="s">
        <v>1394</v>
      </c>
      <c r="G717">
        <v>303410</v>
      </c>
      <c r="I717" t="s">
        <v>14</v>
      </c>
    </row>
    <row r="718" spans="1:9">
      <c r="A718" t="s">
        <v>9</v>
      </c>
      <c r="B718" t="s">
        <v>10</v>
      </c>
      <c r="C718">
        <v>65</v>
      </c>
      <c r="D718" t="s">
        <v>11</v>
      </c>
      <c r="E718" t="s">
        <v>1395</v>
      </c>
      <c r="F718" t="s">
        <v>1396</v>
      </c>
      <c r="G718">
        <v>162350</v>
      </c>
      <c r="I718" t="s">
        <v>14</v>
      </c>
    </row>
    <row r="719" spans="1:9">
      <c r="A719" t="s">
        <v>9</v>
      </c>
      <c r="B719" t="s">
        <v>10</v>
      </c>
      <c r="C719">
        <v>65</v>
      </c>
      <c r="D719" t="s">
        <v>11</v>
      </c>
      <c r="E719" t="s">
        <v>1397</v>
      </c>
      <c r="F719" t="s">
        <v>1398</v>
      </c>
      <c r="G719">
        <v>16060</v>
      </c>
      <c r="I719" t="s">
        <v>14</v>
      </c>
    </row>
    <row r="720" spans="1:9">
      <c r="A720" t="s">
        <v>9</v>
      </c>
      <c r="B720" t="s">
        <v>10</v>
      </c>
      <c r="C720">
        <v>65</v>
      </c>
      <c r="D720" t="s">
        <v>11</v>
      </c>
      <c r="E720" t="s">
        <v>1399</v>
      </c>
      <c r="F720" t="s">
        <v>1400</v>
      </c>
      <c r="G720">
        <v>5800</v>
      </c>
      <c r="I720" t="s">
        <v>14</v>
      </c>
    </row>
    <row r="721" spans="1:9">
      <c r="A721" t="s">
        <v>9</v>
      </c>
      <c r="B721" t="s">
        <v>10</v>
      </c>
      <c r="C721">
        <v>65</v>
      </c>
      <c r="D721" t="s">
        <v>11</v>
      </c>
      <c r="E721" t="s">
        <v>1401</v>
      </c>
      <c r="F721" t="s">
        <v>1402</v>
      </c>
      <c r="G721">
        <v>5140</v>
      </c>
      <c r="I721" t="s">
        <v>14</v>
      </c>
    </row>
    <row r="722" spans="1:9">
      <c r="A722" t="s">
        <v>9</v>
      </c>
      <c r="B722" t="s">
        <v>10</v>
      </c>
      <c r="C722">
        <v>65</v>
      </c>
      <c r="D722" t="s">
        <v>11</v>
      </c>
      <c r="E722" t="s">
        <v>1403</v>
      </c>
      <c r="F722" t="s">
        <v>1404</v>
      </c>
      <c r="G722">
        <v>5390</v>
      </c>
      <c r="I722" t="s">
        <v>14</v>
      </c>
    </row>
    <row r="723" spans="1:9">
      <c r="A723" t="s">
        <v>9</v>
      </c>
      <c r="B723" t="s">
        <v>10</v>
      </c>
      <c r="C723">
        <v>65</v>
      </c>
      <c r="D723" t="s">
        <v>11</v>
      </c>
      <c r="E723" t="s">
        <v>1405</v>
      </c>
      <c r="F723" t="s">
        <v>1406</v>
      </c>
      <c r="G723">
        <v>15660</v>
      </c>
      <c r="I723" t="s">
        <v>14</v>
      </c>
    </row>
    <row r="724" spans="1:9">
      <c r="A724" t="s">
        <v>9</v>
      </c>
      <c r="B724" t="s">
        <v>10</v>
      </c>
      <c r="C724">
        <v>65</v>
      </c>
      <c r="D724" t="s">
        <v>11</v>
      </c>
      <c r="E724" t="s">
        <v>1407</v>
      </c>
      <c r="F724" t="s">
        <v>1408</v>
      </c>
      <c r="G724">
        <v>32690</v>
      </c>
      <c r="I724" t="s">
        <v>14</v>
      </c>
    </row>
    <row r="725" spans="1:9">
      <c r="A725" t="s">
        <v>9</v>
      </c>
      <c r="B725" t="s">
        <v>10</v>
      </c>
      <c r="C725">
        <v>65</v>
      </c>
      <c r="D725" t="s">
        <v>11</v>
      </c>
      <c r="E725" t="s">
        <v>1409</v>
      </c>
      <c r="F725" t="s">
        <v>1410</v>
      </c>
      <c r="G725">
        <v>18660</v>
      </c>
      <c r="I725" t="s">
        <v>14</v>
      </c>
    </row>
    <row r="726" spans="1:9">
      <c r="A726" t="s">
        <v>9</v>
      </c>
      <c r="B726" t="s">
        <v>10</v>
      </c>
      <c r="C726">
        <v>65</v>
      </c>
      <c r="D726" t="s">
        <v>11</v>
      </c>
      <c r="E726" t="s">
        <v>1411</v>
      </c>
      <c r="F726" t="s">
        <v>1412</v>
      </c>
      <c r="G726">
        <v>46550</v>
      </c>
      <c r="I726" t="s">
        <v>14</v>
      </c>
    </row>
    <row r="727" spans="1:9">
      <c r="A727" t="s">
        <v>9</v>
      </c>
      <c r="B727" t="s">
        <v>10</v>
      </c>
      <c r="C727">
        <v>65</v>
      </c>
      <c r="D727" t="s">
        <v>11</v>
      </c>
      <c r="E727" t="s">
        <v>1413</v>
      </c>
      <c r="F727" t="s">
        <v>1414</v>
      </c>
      <c r="G727">
        <v>71390</v>
      </c>
      <c r="I727" t="s">
        <v>14</v>
      </c>
    </row>
    <row r="728" spans="1:9">
      <c r="A728" t="s">
        <v>9</v>
      </c>
      <c r="B728" t="s">
        <v>10</v>
      </c>
      <c r="C728">
        <v>65</v>
      </c>
      <c r="D728" t="s">
        <v>11</v>
      </c>
      <c r="E728" t="s">
        <v>1415</v>
      </c>
      <c r="F728" t="s">
        <v>1416</v>
      </c>
      <c r="G728">
        <v>164820</v>
      </c>
      <c r="I728" t="s">
        <v>14</v>
      </c>
    </row>
    <row r="729" spans="1:9">
      <c r="A729" t="s">
        <v>9</v>
      </c>
      <c r="B729" t="s">
        <v>10</v>
      </c>
      <c r="C729">
        <v>65</v>
      </c>
      <c r="D729" t="s">
        <v>11</v>
      </c>
      <c r="E729" t="s">
        <v>1417</v>
      </c>
      <c r="F729" t="s">
        <v>1418</v>
      </c>
      <c r="G729">
        <v>219810</v>
      </c>
      <c r="I729" t="s">
        <v>14</v>
      </c>
    </row>
    <row r="730" spans="1:9">
      <c r="A730" t="s">
        <v>9</v>
      </c>
      <c r="B730" t="s">
        <v>10</v>
      </c>
      <c r="C730">
        <v>65</v>
      </c>
      <c r="D730" t="s">
        <v>11</v>
      </c>
      <c r="E730" t="s">
        <v>1419</v>
      </c>
      <c r="F730" t="s">
        <v>1420</v>
      </c>
      <c r="G730">
        <v>122310</v>
      </c>
      <c r="I730" t="s">
        <v>14</v>
      </c>
    </row>
    <row r="731" spans="1:9">
      <c r="A731" t="s">
        <v>9</v>
      </c>
      <c r="B731" t="s">
        <v>10</v>
      </c>
      <c r="C731">
        <v>65</v>
      </c>
      <c r="D731" t="s">
        <v>11</v>
      </c>
      <c r="E731" t="s">
        <v>1421</v>
      </c>
      <c r="F731" t="s">
        <v>1422</v>
      </c>
      <c r="G731">
        <v>18760</v>
      </c>
      <c r="I731" t="s">
        <v>14</v>
      </c>
    </row>
    <row r="732" spans="1:9">
      <c r="A732" t="s">
        <v>9</v>
      </c>
      <c r="B732" t="s">
        <v>10</v>
      </c>
      <c r="C732">
        <v>65</v>
      </c>
      <c r="D732" t="s">
        <v>11</v>
      </c>
      <c r="E732" t="s">
        <v>1423</v>
      </c>
      <c r="F732" t="s">
        <v>1424</v>
      </c>
      <c r="G732">
        <v>12510</v>
      </c>
      <c r="I732" t="s">
        <v>14</v>
      </c>
    </row>
    <row r="733" spans="1:9">
      <c r="A733" t="s">
        <v>9</v>
      </c>
      <c r="B733" t="s">
        <v>10</v>
      </c>
      <c r="C733">
        <v>65</v>
      </c>
      <c r="D733" t="s">
        <v>11</v>
      </c>
      <c r="E733" t="s">
        <v>1425</v>
      </c>
      <c r="F733" t="s">
        <v>1426</v>
      </c>
      <c r="G733">
        <v>3840</v>
      </c>
      <c r="I733" t="s">
        <v>14</v>
      </c>
    </row>
    <row r="734" spans="1:9">
      <c r="A734" t="s">
        <v>9</v>
      </c>
      <c r="B734" t="s">
        <v>10</v>
      </c>
      <c r="C734">
        <v>65</v>
      </c>
      <c r="D734" t="s">
        <v>11</v>
      </c>
      <c r="E734" t="s">
        <v>1427</v>
      </c>
      <c r="F734" t="s">
        <v>1428</v>
      </c>
      <c r="G734">
        <v>5000</v>
      </c>
      <c r="I734" t="s">
        <v>14</v>
      </c>
    </row>
    <row r="735" spans="1:9">
      <c r="A735" t="s">
        <v>9</v>
      </c>
      <c r="B735" t="s">
        <v>10</v>
      </c>
      <c r="C735">
        <v>65</v>
      </c>
      <c r="D735" t="s">
        <v>11</v>
      </c>
      <c r="E735" t="s">
        <v>1429</v>
      </c>
      <c r="F735" t="s">
        <v>1430</v>
      </c>
      <c r="G735">
        <v>8030</v>
      </c>
      <c r="I735" t="s">
        <v>14</v>
      </c>
    </row>
    <row r="736" spans="1:9">
      <c r="A736" t="s">
        <v>9</v>
      </c>
      <c r="B736" t="s">
        <v>10</v>
      </c>
      <c r="C736">
        <v>65</v>
      </c>
      <c r="D736" t="s">
        <v>11</v>
      </c>
      <c r="E736" t="s">
        <v>1431</v>
      </c>
      <c r="F736" t="s">
        <v>1432</v>
      </c>
      <c r="G736">
        <v>23690</v>
      </c>
      <c r="I736" t="s">
        <v>14</v>
      </c>
    </row>
    <row r="737" spans="1:9">
      <c r="A737" t="s">
        <v>9</v>
      </c>
      <c r="B737" t="s">
        <v>10</v>
      </c>
      <c r="C737">
        <v>65</v>
      </c>
      <c r="D737" t="s">
        <v>11</v>
      </c>
      <c r="E737" t="s">
        <v>1433</v>
      </c>
      <c r="F737" t="s">
        <v>1434</v>
      </c>
      <c r="G737">
        <v>23870</v>
      </c>
      <c r="I737" t="s">
        <v>14</v>
      </c>
    </row>
    <row r="738" spans="1:9">
      <c r="A738" t="s">
        <v>9</v>
      </c>
      <c r="B738" t="s">
        <v>10</v>
      </c>
      <c r="C738">
        <v>65</v>
      </c>
      <c r="D738" t="s">
        <v>11</v>
      </c>
      <c r="E738" t="s">
        <v>1435</v>
      </c>
      <c r="F738" t="s">
        <v>1436</v>
      </c>
      <c r="G738">
        <v>233310</v>
      </c>
      <c r="I738" t="s">
        <v>14</v>
      </c>
    </row>
    <row r="739" spans="1:9">
      <c r="A739" t="s">
        <v>9</v>
      </c>
      <c r="B739" t="s">
        <v>10</v>
      </c>
      <c r="C739">
        <v>65</v>
      </c>
      <c r="D739" t="s">
        <v>11</v>
      </c>
      <c r="E739" t="s">
        <v>1437</v>
      </c>
      <c r="F739" t="s">
        <v>1438</v>
      </c>
      <c r="G739">
        <v>139020</v>
      </c>
      <c r="I739" t="s">
        <v>14</v>
      </c>
    </row>
    <row r="740" spans="1:9">
      <c r="A740" t="s">
        <v>9</v>
      </c>
      <c r="B740" t="s">
        <v>10</v>
      </c>
      <c r="C740">
        <v>65</v>
      </c>
      <c r="D740" t="s">
        <v>11</v>
      </c>
      <c r="E740" t="s">
        <v>1439</v>
      </c>
      <c r="F740" t="s">
        <v>1440</v>
      </c>
      <c r="G740">
        <v>389030</v>
      </c>
      <c r="I740" t="s">
        <v>14</v>
      </c>
    </row>
    <row r="741" spans="1:9">
      <c r="A741" t="s">
        <v>9</v>
      </c>
      <c r="B741" t="s">
        <v>10</v>
      </c>
      <c r="C741">
        <v>65</v>
      </c>
      <c r="D741" t="s">
        <v>11</v>
      </c>
      <c r="E741" t="s">
        <v>1441</v>
      </c>
      <c r="F741" t="s">
        <v>1442</v>
      </c>
      <c r="G741">
        <v>362480</v>
      </c>
      <c r="I741" t="s">
        <v>14</v>
      </c>
    </row>
    <row r="742" spans="1:9">
      <c r="A742" t="s">
        <v>9</v>
      </c>
      <c r="B742" t="s">
        <v>10</v>
      </c>
      <c r="C742">
        <v>65</v>
      </c>
      <c r="D742" t="s">
        <v>11</v>
      </c>
      <c r="E742" t="s">
        <v>1443</v>
      </c>
      <c r="F742" t="s">
        <v>1444</v>
      </c>
      <c r="G742">
        <v>445580</v>
      </c>
      <c r="I742" t="s">
        <v>14</v>
      </c>
    </row>
    <row r="743" spans="1:9">
      <c r="A743" t="s">
        <v>9</v>
      </c>
      <c r="B743" t="s">
        <v>10</v>
      </c>
      <c r="C743">
        <v>65</v>
      </c>
      <c r="D743" t="s">
        <v>11</v>
      </c>
      <c r="E743" t="s">
        <v>1445</v>
      </c>
      <c r="F743" t="s">
        <v>1446</v>
      </c>
      <c r="G743">
        <v>116890</v>
      </c>
      <c r="I743" t="s">
        <v>14</v>
      </c>
    </row>
    <row r="744" spans="1:9">
      <c r="A744" t="s">
        <v>9</v>
      </c>
      <c r="B744" t="s">
        <v>10</v>
      </c>
      <c r="C744">
        <v>65</v>
      </c>
      <c r="D744" t="s">
        <v>11</v>
      </c>
      <c r="E744" t="s">
        <v>1447</v>
      </c>
      <c r="F744" t="s">
        <v>1448</v>
      </c>
      <c r="G744">
        <v>14060</v>
      </c>
      <c r="I744" t="s">
        <v>14</v>
      </c>
    </row>
    <row r="745" spans="1:9">
      <c r="A745" t="s">
        <v>9</v>
      </c>
      <c r="B745" t="s">
        <v>10</v>
      </c>
      <c r="C745">
        <v>65</v>
      </c>
      <c r="D745" t="s">
        <v>11</v>
      </c>
      <c r="E745" t="s">
        <v>1449</v>
      </c>
      <c r="F745" t="s">
        <v>1450</v>
      </c>
      <c r="G745">
        <v>4990</v>
      </c>
      <c r="I745" t="s">
        <v>14</v>
      </c>
    </row>
    <row r="746" spans="1:9">
      <c r="A746" t="s">
        <v>9</v>
      </c>
      <c r="B746" t="s">
        <v>10</v>
      </c>
      <c r="C746">
        <v>65</v>
      </c>
      <c r="D746" t="s">
        <v>11</v>
      </c>
      <c r="E746" t="s">
        <v>1451</v>
      </c>
      <c r="F746" t="s">
        <v>1452</v>
      </c>
      <c r="G746">
        <v>17280</v>
      </c>
      <c r="I746" t="s">
        <v>14</v>
      </c>
    </row>
    <row r="747" spans="1:9">
      <c r="A747" t="s">
        <v>9</v>
      </c>
      <c r="B747" t="s">
        <v>10</v>
      </c>
      <c r="C747">
        <v>65</v>
      </c>
      <c r="D747" t="s">
        <v>11</v>
      </c>
      <c r="E747" t="s">
        <v>1453</v>
      </c>
      <c r="F747" t="s">
        <v>1454</v>
      </c>
      <c r="G747">
        <v>8750</v>
      </c>
      <c r="I747" t="s">
        <v>14</v>
      </c>
    </row>
    <row r="748" spans="1:9">
      <c r="A748" t="s">
        <v>9</v>
      </c>
      <c r="B748" t="s">
        <v>10</v>
      </c>
      <c r="C748">
        <v>65</v>
      </c>
      <c r="D748" t="s">
        <v>11</v>
      </c>
      <c r="E748" t="s">
        <v>1455</v>
      </c>
      <c r="F748" t="s">
        <v>1456</v>
      </c>
      <c r="G748">
        <v>29450</v>
      </c>
      <c r="I748" t="s">
        <v>14</v>
      </c>
    </row>
    <row r="749" spans="1:9">
      <c r="A749" t="s">
        <v>9</v>
      </c>
      <c r="B749" t="s">
        <v>10</v>
      </c>
      <c r="C749">
        <v>65</v>
      </c>
      <c r="D749" t="s">
        <v>11</v>
      </c>
      <c r="E749" t="s">
        <v>1457</v>
      </c>
      <c r="F749" t="s">
        <v>1458</v>
      </c>
      <c r="G749">
        <v>93090</v>
      </c>
      <c r="I749" t="s">
        <v>14</v>
      </c>
    </row>
    <row r="750" spans="1:9">
      <c r="A750" t="s">
        <v>9</v>
      </c>
      <c r="B750" t="s">
        <v>10</v>
      </c>
      <c r="C750">
        <v>65</v>
      </c>
      <c r="D750" t="s">
        <v>11</v>
      </c>
      <c r="E750" t="s">
        <v>1459</v>
      </c>
      <c r="F750" t="s">
        <v>1460</v>
      </c>
      <c r="G750">
        <v>308730</v>
      </c>
      <c r="I750" t="s">
        <v>14</v>
      </c>
    </row>
    <row r="751" spans="1:9">
      <c r="A751" t="s">
        <v>9</v>
      </c>
      <c r="B751" t="s">
        <v>10</v>
      </c>
      <c r="C751">
        <v>65</v>
      </c>
      <c r="D751" t="s">
        <v>11</v>
      </c>
      <c r="E751" t="s">
        <v>1461</v>
      </c>
      <c r="F751" t="s">
        <v>1462</v>
      </c>
      <c r="G751">
        <v>112200</v>
      </c>
      <c r="I751" t="s">
        <v>14</v>
      </c>
    </row>
    <row r="752" spans="1:9">
      <c r="A752" t="s">
        <v>9</v>
      </c>
      <c r="B752" t="s">
        <v>10</v>
      </c>
      <c r="C752">
        <v>65</v>
      </c>
      <c r="D752" t="s">
        <v>11</v>
      </c>
      <c r="E752" t="s">
        <v>1463</v>
      </c>
      <c r="F752" t="s">
        <v>1464</v>
      </c>
      <c r="G752">
        <v>247530</v>
      </c>
      <c r="I752" t="s">
        <v>14</v>
      </c>
    </row>
    <row r="753" spans="1:9">
      <c r="A753" t="s">
        <v>9</v>
      </c>
      <c r="B753" t="s">
        <v>10</v>
      </c>
      <c r="C753">
        <v>65</v>
      </c>
      <c r="D753" t="s">
        <v>11</v>
      </c>
      <c r="E753" t="s">
        <v>1465</v>
      </c>
      <c r="F753" t="s">
        <v>1466</v>
      </c>
      <c r="G753">
        <v>533660</v>
      </c>
      <c r="I753" t="s">
        <v>14</v>
      </c>
    </row>
    <row r="754" spans="1:9">
      <c r="A754" t="s">
        <v>9</v>
      </c>
      <c r="B754" t="s">
        <v>10</v>
      </c>
      <c r="C754">
        <v>65</v>
      </c>
      <c r="D754" t="s">
        <v>11</v>
      </c>
      <c r="E754" t="s">
        <v>1467</v>
      </c>
      <c r="F754" t="s">
        <v>1468</v>
      </c>
      <c r="G754">
        <v>463440</v>
      </c>
      <c r="I754" t="s">
        <v>14</v>
      </c>
    </row>
    <row r="755" spans="1:9">
      <c r="A755" t="s">
        <v>9</v>
      </c>
      <c r="B755" t="s">
        <v>10</v>
      </c>
      <c r="C755">
        <v>65</v>
      </c>
      <c r="D755" t="s">
        <v>11</v>
      </c>
      <c r="E755" t="s">
        <v>1469</v>
      </c>
      <c r="F755" t="s">
        <v>1470</v>
      </c>
      <c r="G755">
        <v>179130</v>
      </c>
      <c r="I755" t="s">
        <v>14</v>
      </c>
    </row>
    <row r="756" spans="1:9">
      <c r="A756" t="s">
        <v>9</v>
      </c>
      <c r="B756" t="s">
        <v>10</v>
      </c>
      <c r="C756">
        <v>65</v>
      </c>
      <c r="D756" t="s">
        <v>11</v>
      </c>
      <c r="E756" t="s">
        <v>1471</v>
      </c>
      <c r="F756" t="s">
        <v>1472</v>
      </c>
      <c r="G756">
        <v>31870</v>
      </c>
      <c r="I756" t="s">
        <v>14</v>
      </c>
    </row>
    <row r="757" spans="1:9">
      <c r="A757" t="s">
        <v>9</v>
      </c>
      <c r="B757" t="s">
        <v>10</v>
      </c>
      <c r="C757">
        <v>65</v>
      </c>
      <c r="D757" t="s">
        <v>11</v>
      </c>
      <c r="E757" t="s">
        <v>1473</v>
      </c>
      <c r="F757" t="s">
        <v>1474</v>
      </c>
      <c r="G757">
        <v>16030</v>
      </c>
      <c r="I757" t="s">
        <v>14</v>
      </c>
    </row>
    <row r="758" spans="1:9">
      <c r="A758" t="s">
        <v>9</v>
      </c>
      <c r="B758" t="s">
        <v>10</v>
      </c>
      <c r="C758">
        <v>65</v>
      </c>
      <c r="D758" t="s">
        <v>11</v>
      </c>
      <c r="E758" t="s">
        <v>1475</v>
      </c>
      <c r="F758" t="s">
        <v>1476</v>
      </c>
      <c r="G758">
        <v>17680</v>
      </c>
      <c r="I758" t="s">
        <v>14</v>
      </c>
    </row>
    <row r="759" spans="1:9">
      <c r="A759" t="s">
        <v>9</v>
      </c>
      <c r="B759" t="s">
        <v>10</v>
      </c>
      <c r="C759">
        <v>65</v>
      </c>
      <c r="D759" t="s">
        <v>11</v>
      </c>
      <c r="E759" t="s">
        <v>1477</v>
      </c>
      <c r="F759" t="s">
        <v>1478</v>
      </c>
      <c r="G759">
        <v>104940</v>
      </c>
      <c r="I759" t="s">
        <v>14</v>
      </c>
    </row>
    <row r="760" spans="1:9">
      <c r="A760" t="s">
        <v>9</v>
      </c>
      <c r="B760" t="s">
        <v>10</v>
      </c>
      <c r="C760">
        <v>65</v>
      </c>
      <c r="D760" t="s">
        <v>11</v>
      </c>
      <c r="E760" t="s">
        <v>1479</v>
      </c>
      <c r="F760" t="s">
        <v>1480</v>
      </c>
      <c r="G760">
        <v>48020</v>
      </c>
      <c r="I760" t="s">
        <v>14</v>
      </c>
    </row>
    <row r="761" spans="1:9">
      <c r="A761" t="s">
        <v>9</v>
      </c>
      <c r="B761" t="s">
        <v>10</v>
      </c>
      <c r="C761">
        <v>65</v>
      </c>
      <c r="D761" t="s">
        <v>11</v>
      </c>
      <c r="E761" t="s">
        <v>1481</v>
      </c>
      <c r="F761" t="s">
        <v>1482</v>
      </c>
      <c r="G761">
        <v>53550</v>
      </c>
      <c r="I761" t="s">
        <v>14</v>
      </c>
    </row>
    <row r="762" spans="1:9">
      <c r="A762" t="s">
        <v>9</v>
      </c>
      <c r="B762" t="s">
        <v>10</v>
      </c>
      <c r="C762">
        <v>65</v>
      </c>
      <c r="D762" t="s">
        <v>11</v>
      </c>
      <c r="E762" t="s">
        <v>1483</v>
      </c>
      <c r="F762" t="s">
        <v>1484</v>
      </c>
      <c r="G762">
        <v>51800</v>
      </c>
      <c r="I762" t="s">
        <v>14</v>
      </c>
    </row>
    <row r="763" spans="1:9">
      <c r="A763" t="s">
        <v>9</v>
      </c>
      <c r="B763" t="s">
        <v>10</v>
      </c>
      <c r="C763">
        <v>65</v>
      </c>
      <c r="D763" t="s">
        <v>11</v>
      </c>
      <c r="E763" t="s">
        <v>1485</v>
      </c>
      <c r="F763" t="s">
        <v>1486</v>
      </c>
      <c r="G763">
        <v>75270</v>
      </c>
      <c r="I763" t="s">
        <v>14</v>
      </c>
    </row>
    <row r="764" spans="1:9">
      <c r="A764" t="s">
        <v>9</v>
      </c>
      <c r="B764" t="s">
        <v>10</v>
      </c>
      <c r="C764">
        <v>65</v>
      </c>
      <c r="D764" t="s">
        <v>11</v>
      </c>
      <c r="E764" t="s">
        <v>1487</v>
      </c>
      <c r="F764" t="s">
        <v>1488</v>
      </c>
      <c r="G764">
        <v>169190</v>
      </c>
      <c r="I764" t="s">
        <v>14</v>
      </c>
    </row>
    <row r="765" spans="1:9">
      <c r="A765" t="s">
        <v>9</v>
      </c>
      <c r="B765" t="s">
        <v>10</v>
      </c>
      <c r="C765">
        <v>65</v>
      </c>
      <c r="D765" t="s">
        <v>11</v>
      </c>
      <c r="E765" t="s">
        <v>1489</v>
      </c>
      <c r="F765" t="s">
        <v>1490</v>
      </c>
      <c r="G765">
        <v>323070</v>
      </c>
      <c r="I765" t="s">
        <v>14</v>
      </c>
    </row>
    <row r="766" spans="1:9">
      <c r="A766" t="s">
        <v>9</v>
      </c>
      <c r="B766" t="s">
        <v>10</v>
      </c>
      <c r="C766">
        <v>65</v>
      </c>
      <c r="D766" t="s">
        <v>11</v>
      </c>
      <c r="E766" t="s">
        <v>1491</v>
      </c>
      <c r="F766" t="s">
        <v>1492</v>
      </c>
      <c r="G766">
        <v>225030</v>
      </c>
      <c r="I766" t="s">
        <v>14</v>
      </c>
    </row>
    <row r="767" spans="1:9">
      <c r="A767" t="s">
        <v>9</v>
      </c>
      <c r="B767" t="s">
        <v>10</v>
      </c>
      <c r="C767">
        <v>65</v>
      </c>
      <c r="D767" t="s">
        <v>11</v>
      </c>
      <c r="E767" t="s">
        <v>1493</v>
      </c>
      <c r="F767" t="s">
        <v>1494</v>
      </c>
      <c r="G767">
        <v>41220</v>
      </c>
      <c r="I767" t="s">
        <v>14</v>
      </c>
    </row>
    <row r="768" spans="1:9">
      <c r="A768" t="s">
        <v>9</v>
      </c>
      <c r="B768" t="s">
        <v>10</v>
      </c>
      <c r="C768">
        <v>65</v>
      </c>
      <c r="D768" t="s">
        <v>11</v>
      </c>
      <c r="E768" t="s">
        <v>1495</v>
      </c>
      <c r="F768" t="s">
        <v>1496</v>
      </c>
      <c r="G768">
        <v>12350</v>
      </c>
      <c r="I768" t="s">
        <v>14</v>
      </c>
    </row>
    <row r="769" spans="1:9">
      <c r="A769" t="s">
        <v>9</v>
      </c>
      <c r="B769" t="s">
        <v>10</v>
      </c>
      <c r="C769">
        <v>65</v>
      </c>
      <c r="D769" t="s">
        <v>11</v>
      </c>
      <c r="E769" t="s">
        <v>1497</v>
      </c>
      <c r="F769" t="s">
        <v>1498</v>
      </c>
      <c r="G769">
        <v>8160</v>
      </c>
      <c r="I769" t="s">
        <v>14</v>
      </c>
    </row>
    <row r="770" spans="1:9">
      <c r="A770" t="s">
        <v>9</v>
      </c>
      <c r="B770" t="s">
        <v>10</v>
      </c>
      <c r="C770">
        <v>65</v>
      </c>
      <c r="D770" t="s">
        <v>11</v>
      </c>
      <c r="E770" t="s">
        <v>1499</v>
      </c>
      <c r="F770" t="s">
        <v>1500</v>
      </c>
      <c r="G770">
        <v>8850</v>
      </c>
      <c r="I770" t="s">
        <v>14</v>
      </c>
    </row>
    <row r="771" spans="1:9">
      <c r="A771" t="s">
        <v>9</v>
      </c>
      <c r="B771" t="s">
        <v>10</v>
      </c>
      <c r="C771">
        <v>65</v>
      </c>
      <c r="D771" t="s">
        <v>11</v>
      </c>
      <c r="E771" t="s">
        <v>1501</v>
      </c>
      <c r="F771" t="s">
        <v>1502</v>
      </c>
      <c r="G771">
        <v>52250</v>
      </c>
      <c r="I771" t="s">
        <v>14</v>
      </c>
    </row>
    <row r="772" spans="1:9">
      <c r="A772" t="s">
        <v>9</v>
      </c>
      <c r="B772" t="s">
        <v>10</v>
      </c>
      <c r="C772">
        <v>65</v>
      </c>
      <c r="D772" t="s">
        <v>11</v>
      </c>
      <c r="E772" t="s">
        <v>1503</v>
      </c>
      <c r="F772" t="s">
        <v>1504</v>
      </c>
      <c r="G772">
        <v>517140</v>
      </c>
      <c r="I772" t="s">
        <v>14</v>
      </c>
    </row>
    <row r="773" spans="1:9">
      <c r="A773" t="s">
        <v>9</v>
      </c>
      <c r="B773" t="s">
        <v>10</v>
      </c>
      <c r="C773">
        <v>65</v>
      </c>
      <c r="D773" t="s">
        <v>11</v>
      </c>
      <c r="E773" t="s">
        <v>1505</v>
      </c>
      <c r="F773" t="s">
        <v>1506</v>
      </c>
      <c r="G773">
        <v>288700</v>
      </c>
      <c r="I773" t="s">
        <v>14</v>
      </c>
    </row>
    <row r="774" spans="1:9">
      <c r="A774" t="s">
        <v>9</v>
      </c>
      <c r="B774" t="s">
        <v>10</v>
      </c>
      <c r="C774">
        <v>65</v>
      </c>
      <c r="D774" t="s">
        <v>11</v>
      </c>
      <c r="E774" t="s">
        <v>1507</v>
      </c>
      <c r="F774" t="s">
        <v>1508</v>
      </c>
      <c r="G774">
        <v>141060</v>
      </c>
      <c r="I774" t="s">
        <v>14</v>
      </c>
    </row>
    <row r="775" spans="1:9">
      <c r="A775" t="s">
        <v>9</v>
      </c>
      <c r="B775" t="s">
        <v>10</v>
      </c>
      <c r="C775">
        <v>65</v>
      </c>
      <c r="D775" t="s">
        <v>11</v>
      </c>
      <c r="E775" t="s">
        <v>1509</v>
      </c>
      <c r="F775" t="s">
        <v>1510</v>
      </c>
      <c r="G775">
        <v>140880</v>
      </c>
      <c r="I775" t="s">
        <v>14</v>
      </c>
    </row>
    <row r="776" spans="1:9">
      <c r="A776" t="s">
        <v>9</v>
      </c>
      <c r="B776" t="s">
        <v>10</v>
      </c>
      <c r="C776">
        <v>65</v>
      </c>
      <c r="D776" t="s">
        <v>11</v>
      </c>
      <c r="E776" t="s">
        <v>1511</v>
      </c>
      <c r="F776" t="s">
        <v>1512</v>
      </c>
      <c r="G776">
        <v>326030</v>
      </c>
      <c r="I776" t="s">
        <v>14</v>
      </c>
    </row>
    <row r="777" spans="1:9">
      <c r="A777" t="s">
        <v>9</v>
      </c>
      <c r="B777" t="s">
        <v>10</v>
      </c>
      <c r="C777">
        <v>65</v>
      </c>
      <c r="D777" t="s">
        <v>11</v>
      </c>
      <c r="E777" t="s">
        <v>1513</v>
      </c>
      <c r="F777" t="s">
        <v>1514</v>
      </c>
      <c r="G777">
        <v>448980</v>
      </c>
      <c r="I777" t="s">
        <v>14</v>
      </c>
    </row>
    <row r="778" spans="1:9">
      <c r="A778" t="s">
        <v>9</v>
      </c>
      <c r="B778" t="s">
        <v>10</v>
      </c>
      <c r="C778">
        <v>65</v>
      </c>
      <c r="D778" t="s">
        <v>11</v>
      </c>
      <c r="E778" t="s">
        <v>1515</v>
      </c>
      <c r="F778" t="s">
        <v>1516</v>
      </c>
      <c r="G778">
        <v>476530</v>
      </c>
      <c r="I778" t="s">
        <v>14</v>
      </c>
    </row>
    <row r="779" spans="1:9">
      <c r="A779" t="s">
        <v>9</v>
      </c>
      <c r="B779" t="s">
        <v>10</v>
      </c>
      <c r="C779">
        <v>65</v>
      </c>
      <c r="D779" t="s">
        <v>11</v>
      </c>
      <c r="E779" t="s">
        <v>1517</v>
      </c>
      <c r="F779" t="s">
        <v>1518</v>
      </c>
      <c r="G779">
        <v>227610</v>
      </c>
      <c r="I779" t="s">
        <v>14</v>
      </c>
    </row>
    <row r="780" spans="1:9">
      <c r="A780" t="s">
        <v>9</v>
      </c>
      <c r="B780" t="s">
        <v>10</v>
      </c>
      <c r="C780">
        <v>65</v>
      </c>
      <c r="D780" t="s">
        <v>11</v>
      </c>
      <c r="E780" t="s">
        <v>1519</v>
      </c>
      <c r="F780" t="s">
        <v>1520</v>
      </c>
      <c r="G780">
        <v>87410</v>
      </c>
      <c r="I780" t="s">
        <v>14</v>
      </c>
    </row>
    <row r="781" spans="1:9">
      <c r="A781" t="s">
        <v>9</v>
      </c>
      <c r="B781" t="s">
        <v>10</v>
      </c>
      <c r="C781">
        <v>65</v>
      </c>
      <c r="D781" t="s">
        <v>11</v>
      </c>
      <c r="E781" t="s">
        <v>1521</v>
      </c>
      <c r="F781" t="s">
        <v>1522</v>
      </c>
      <c r="G781">
        <v>22930</v>
      </c>
      <c r="I781" t="s">
        <v>14</v>
      </c>
    </row>
    <row r="782" spans="1:9">
      <c r="A782" t="s">
        <v>9</v>
      </c>
      <c r="B782" t="s">
        <v>10</v>
      </c>
      <c r="C782">
        <v>65</v>
      </c>
      <c r="D782" t="s">
        <v>11</v>
      </c>
      <c r="E782" t="s">
        <v>1523</v>
      </c>
      <c r="F782" t="s">
        <v>1524</v>
      </c>
      <c r="G782">
        <v>7440</v>
      </c>
      <c r="I782" t="s">
        <v>14</v>
      </c>
    </row>
    <row r="783" spans="1:9">
      <c r="A783" t="s">
        <v>9</v>
      </c>
      <c r="B783" t="s">
        <v>10</v>
      </c>
      <c r="C783">
        <v>65</v>
      </c>
      <c r="D783" t="s">
        <v>11</v>
      </c>
      <c r="E783" t="s">
        <v>1525</v>
      </c>
      <c r="F783" t="s">
        <v>1526</v>
      </c>
      <c r="G783">
        <v>129570</v>
      </c>
      <c r="I783" t="s">
        <v>14</v>
      </c>
    </row>
    <row r="784" spans="1:9">
      <c r="A784" t="s">
        <v>9</v>
      </c>
      <c r="B784" t="s">
        <v>10</v>
      </c>
      <c r="C784">
        <v>65</v>
      </c>
      <c r="D784" t="s">
        <v>11</v>
      </c>
      <c r="E784" t="s">
        <v>1527</v>
      </c>
      <c r="F784" t="s">
        <v>1528</v>
      </c>
      <c r="G784">
        <v>88850</v>
      </c>
      <c r="I784" t="s">
        <v>14</v>
      </c>
    </row>
    <row r="785" spans="1:9">
      <c r="A785" t="s">
        <v>9</v>
      </c>
      <c r="B785" t="s">
        <v>10</v>
      </c>
      <c r="C785">
        <v>65</v>
      </c>
      <c r="D785" t="s">
        <v>11</v>
      </c>
      <c r="E785" t="s">
        <v>1529</v>
      </c>
      <c r="F785" t="s">
        <v>1530</v>
      </c>
      <c r="G785">
        <v>77750</v>
      </c>
      <c r="I785" t="s">
        <v>14</v>
      </c>
    </row>
    <row r="786" spans="1:9">
      <c r="A786" t="s">
        <v>9</v>
      </c>
      <c r="B786" t="s">
        <v>10</v>
      </c>
      <c r="C786">
        <v>65</v>
      </c>
      <c r="D786" t="s">
        <v>11</v>
      </c>
      <c r="E786" t="s">
        <v>1531</v>
      </c>
      <c r="F786" t="s">
        <v>1532</v>
      </c>
      <c r="G786">
        <v>74930</v>
      </c>
      <c r="I786" t="s">
        <v>14</v>
      </c>
    </row>
    <row r="787" spans="1:9">
      <c r="A787" t="s">
        <v>9</v>
      </c>
      <c r="B787" t="s">
        <v>10</v>
      </c>
      <c r="C787">
        <v>65</v>
      </c>
      <c r="D787" t="s">
        <v>11</v>
      </c>
      <c r="E787" t="s">
        <v>1533</v>
      </c>
      <c r="F787" t="s">
        <v>1534</v>
      </c>
      <c r="G787">
        <v>146420</v>
      </c>
      <c r="I787" t="s">
        <v>14</v>
      </c>
    </row>
    <row r="788" spans="1:9">
      <c r="A788" t="s">
        <v>9</v>
      </c>
      <c r="B788" t="s">
        <v>10</v>
      </c>
      <c r="C788">
        <v>65</v>
      </c>
      <c r="D788" t="s">
        <v>11</v>
      </c>
      <c r="E788" t="s">
        <v>1535</v>
      </c>
      <c r="F788" t="s">
        <v>1536</v>
      </c>
      <c r="G788">
        <v>298540</v>
      </c>
      <c r="I788" t="s">
        <v>14</v>
      </c>
    </row>
    <row r="789" spans="1:9">
      <c r="A789" t="s">
        <v>9</v>
      </c>
      <c r="B789" t="s">
        <v>10</v>
      </c>
      <c r="C789">
        <v>65</v>
      </c>
      <c r="D789" t="s">
        <v>11</v>
      </c>
      <c r="E789" t="s">
        <v>1537</v>
      </c>
      <c r="F789" t="s">
        <v>1538</v>
      </c>
      <c r="G789">
        <v>354860</v>
      </c>
      <c r="I789" t="s">
        <v>14</v>
      </c>
    </row>
    <row r="790" spans="1:9">
      <c r="A790" t="s">
        <v>9</v>
      </c>
      <c r="B790" t="s">
        <v>10</v>
      </c>
      <c r="C790">
        <v>65</v>
      </c>
      <c r="D790" t="s">
        <v>11</v>
      </c>
      <c r="E790" t="s">
        <v>1539</v>
      </c>
      <c r="F790" t="s">
        <v>1540</v>
      </c>
      <c r="G790">
        <v>86350</v>
      </c>
      <c r="I790" t="s">
        <v>14</v>
      </c>
    </row>
    <row r="791" spans="1:9">
      <c r="A791" t="s">
        <v>9</v>
      </c>
      <c r="B791" t="s">
        <v>10</v>
      </c>
      <c r="C791">
        <v>65</v>
      </c>
      <c r="D791" t="s">
        <v>11</v>
      </c>
      <c r="E791" t="s">
        <v>1541</v>
      </c>
      <c r="F791" t="s">
        <v>1542</v>
      </c>
      <c r="G791">
        <v>22320</v>
      </c>
      <c r="I791" t="s">
        <v>14</v>
      </c>
    </row>
    <row r="792" spans="1:9">
      <c r="A792" t="s">
        <v>9</v>
      </c>
      <c r="B792" t="s">
        <v>10</v>
      </c>
      <c r="C792">
        <v>65</v>
      </c>
      <c r="D792" t="s">
        <v>11</v>
      </c>
      <c r="E792" t="s">
        <v>1543</v>
      </c>
      <c r="F792" t="s">
        <v>1544</v>
      </c>
      <c r="G792">
        <v>9310</v>
      </c>
      <c r="I792" t="s">
        <v>14</v>
      </c>
    </row>
    <row r="793" spans="1:9">
      <c r="A793" t="s">
        <v>9</v>
      </c>
      <c r="B793" t="s">
        <v>10</v>
      </c>
      <c r="C793">
        <v>65</v>
      </c>
      <c r="D793" t="s">
        <v>11</v>
      </c>
      <c r="E793" t="s">
        <v>1545</v>
      </c>
      <c r="F793" t="s">
        <v>1546</v>
      </c>
      <c r="G793">
        <v>9760</v>
      </c>
      <c r="I793" t="s">
        <v>14</v>
      </c>
    </row>
    <row r="794" spans="1:9">
      <c r="A794" t="s">
        <v>9</v>
      </c>
      <c r="B794" t="s">
        <v>10</v>
      </c>
      <c r="C794">
        <v>65</v>
      </c>
      <c r="D794" t="s">
        <v>11</v>
      </c>
      <c r="E794" t="s">
        <v>1547</v>
      </c>
      <c r="F794" t="s">
        <v>1548</v>
      </c>
      <c r="G794">
        <v>7080</v>
      </c>
      <c r="I794" t="s">
        <v>14</v>
      </c>
    </row>
    <row r="795" spans="1:9">
      <c r="A795" t="s">
        <v>9</v>
      </c>
      <c r="B795" t="s">
        <v>10</v>
      </c>
      <c r="C795">
        <v>65</v>
      </c>
      <c r="D795" t="s">
        <v>11</v>
      </c>
      <c r="E795" t="s">
        <v>1549</v>
      </c>
      <c r="F795" t="s">
        <v>1550</v>
      </c>
      <c r="G795">
        <v>67330</v>
      </c>
      <c r="I795" t="s">
        <v>14</v>
      </c>
    </row>
    <row r="796" spans="1:9">
      <c r="A796" t="s">
        <v>9</v>
      </c>
      <c r="B796" t="s">
        <v>10</v>
      </c>
      <c r="C796">
        <v>65</v>
      </c>
      <c r="D796" t="s">
        <v>11</v>
      </c>
      <c r="E796" t="s">
        <v>1551</v>
      </c>
      <c r="F796" t="s">
        <v>1552</v>
      </c>
      <c r="G796">
        <v>221600</v>
      </c>
      <c r="I796" t="s">
        <v>14</v>
      </c>
    </row>
    <row r="797" spans="1:9">
      <c r="A797" t="s">
        <v>9</v>
      </c>
      <c r="B797" t="s">
        <v>10</v>
      </c>
      <c r="C797">
        <v>65</v>
      </c>
      <c r="D797" t="s">
        <v>11</v>
      </c>
      <c r="E797" t="s">
        <v>1553</v>
      </c>
      <c r="F797" t="s">
        <v>1554</v>
      </c>
      <c r="G797">
        <v>134970</v>
      </c>
      <c r="I797" t="s">
        <v>14</v>
      </c>
    </row>
    <row r="798" spans="1:9">
      <c r="A798" t="s">
        <v>9</v>
      </c>
      <c r="B798" t="s">
        <v>10</v>
      </c>
      <c r="C798">
        <v>65</v>
      </c>
      <c r="D798" t="s">
        <v>11</v>
      </c>
      <c r="E798" t="s">
        <v>1555</v>
      </c>
      <c r="F798" t="s">
        <v>1556</v>
      </c>
      <c r="G798">
        <v>115040</v>
      </c>
      <c r="I798" t="s">
        <v>14</v>
      </c>
    </row>
    <row r="799" spans="1:9">
      <c r="A799" t="s">
        <v>9</v>
      </c>
      <c r="B799" t="s">
        <v>10</v>
      </c>
      <c r="C799">
        <v>65</v>
      </c>
      <c r="D799" t="s">
        <v>11</v>
      </c>
      <c r="E799" t="s">
        <v>1557</v>
      </c>
      <c r="F799" t="s">
        <v>1558</v>
      </c>
      <c r="G799">
        <v>306310</v>
      </c>
      <c r="I799" t="s">
        <v>14</v>
      </c>
    </row>
    <row r="800" spans="1:9">
      <c r="A800" t="s">
        <v>9</v>
      </c>
      <c r="B800" t="s">
        <v>10</v>
      </c>
      <c r="C800">
        <v>65</v>
      </c>
      <c r="D800" t="s">
        <v>11</v>
      </c>
      <c r="E800" t="s">
        <v>1559</v>
      </c>
      <c r="F800" t="s">
        <v>1560</v>
      </c>
      <c r="G800">
        <v>289540</v>
      </c>
      <c r="I800" t="s">
        <v>14</v>
      </c>
    </row>
    <row r="801" spans="1:9">
      <c r="A801" t="s">
        <v>9</v>
      </c>
      <c r="B801" t="s">
        <v>10</v>
      </c>
      <c r="C801">
        <v>65</v>
      </c>
      <c r="D801" t="s">
        <v>11</v>
      </c>
      <c r="E801" t="s">
        <v>1561</v>
      </c>
      <c r="F801" t="s">
        <v>1562</v>
      </c>
      <c r="G801">
        <v>648920</v>
      </c>
      <c r="I801" t="s">
        <v>14</v>
      </c>
    </row>
    <row r="802" spans="1:9">
      <c r="A802" t="s">
        <v>9</v>
      </c>
      <c r="B802" t="s">
        <v>10</v>
      </c>
      <c r="C802">
        <v>65</v>
      </c>
      <c r="D802" t="s">
        <v>11</v>
      </c>
      <c r="E802" t="s">
        <v>1563</v>
      </c>
      <c r="F802" t="s">
        <v>1564</v>
      </c>
      <c r="G802">
        <v>743530</v>
      </c>
      <c r="I802" t="s">
        <v>14</v>
      </c>
    </row>
    <row r="803" spans="1:9">
      <c r="A803" t="s">
        <v>9</v>
      </c>
      <c r="B803" t="s">
        <v>10</v>
      </c>
      <c r="C803">
        <v>65</v>
      </c>
      <c r="D803" t="s">
        <v>11</v>
      </c>
      <c r="E803" t="s">
        <v>1565</v>
      </c>
      <c r="F803" t="s">
        <v>1566</v>
      </c>
      <c r="G803">
        <v>472500</v>
      </c>
      <c r="I803" t="s">
        <v>14</v>
      </c>
    </row>
    <row r="804" spans="1:9">
      <c r="A804" t="s">
        <v>9</v>
      </c>
      <c r="B804" t="s">
        <v>10</v>
      </c>
      <c r="C804">
        <v>65</v>
      </c>
      <c r="D804" t="s">
        <v>11</v>
      </c>
      <c r="E804" t="s">
        <v>1567</v>
      </c>
      <c r="F804" t="s">
        <v>1568</v>
      </c>
      <c r="G804">
        <v>77530</v>
      </c>
      <c r="I804" t="s">
        <v>14</v>
      </c>
    </row>
    <row r="805" spans="1:9">
      <c r="A805" t="s">
        <v>9</v>
      </c>
      <c r="B805" t="s">
        <v>10</v>
      </c>
      <c r="C805">
        <v>65</v>
      </c>
      <c r="D805" t="s">
        <v>11</v>
      </c>
      <c r="E805" t="s">
        <v>1569</v>
      </c>
      <c r="F805" t="s">
        <v>1570</v>
      </c>
      <c r="G805">
        <v>20260</v>
      </c>
      <c r="I805" t="s">
        <v>14</v>
      </c>
    </row>
    <row r="806" spans="1:9">
      <c r="A806" t="s">
        <v>9</v>
      </c>
      <c r="B806" t="s">
        <v>10</v>
      </c>
      <c r="C806">
        <v>65</v>
      </c>
      <c r="D806" t="s">
        <v>11</v>
      </c>
      <c r="E806" t="s">
        <v>1571</v>
      </c>
      <c r="F806" t="s">
        <v>1572</v>
      </c>
      <c r="G806">
        <v>9940</v>
      </c>
      <c r="I806" t="s">
        <v>14</v>
      </c>
    </row>
    <row r="807" spans="1:9">
      <c r="A807" t="s">
        <v>9</v>
      </c>
      <c r="B807" t="s">
        <v>10</v>
      </c>
      <c r="C807">
        <v>65</v>
      </c>
      <c r="D807" t="s">
        <v>11</v>
      </c>
      <c r="E807" t="s">
        <v>1573</v>
      </c>
      <c r="F807" t="s">
        <v>1574</v>
      </c>
      <c r="G807">
        <v>11140</v>
      </c>
      <c r="I807" t="s">
        <v>14</v>
      </c>
    </row>
    <row r="808" spans="1:9">
      <c r="A808" t="s">
        <v>9</v>
      </c>
      <c r="B808" t="s">
        <v>10</v>
      </c>
      <c r="C808">
        <v>65</v>
      </c>
      <c r="D808" t="s">
        <v>11</v>
      </c>
      <c r="E808" t="s">
        <v>1575</v>
      </c>
      <c r="F808" t="s">
        <v>1576</v>
      </c>
      <c r="G808">
        <v>31620</v>
      </c>
      <c r="I808" t="s">
        <v>14</v>
      </c>
    </row>
    <row r="809" spans="1:9">
      <c r="A809" t="s">
        <v>9</v>
      </c>
      <c r="B809" t="s">
        <v>10</v>
      </c>
      <c r="C809">
        <v>65</v>
      </c>
      <c r="D809" t="s">
        <v>11</v>
      </c>
      <c r="E809" t="s">
        <v>1577</v>
      </c>
      <c r="F809" t="s">
        <v>1578</v>
      </c>
      <c r="G809">
        <v>47230</v>
      </c>
      <c r="I809" t="s">
        <v>14</v>
      </c>
    </row>
    <row r="810" spans="1:9">
      <c r="A810" t="s">
        <v>9</v>
      </c>
      <c r="B810" t="s">
        <v>10</v>
      </c>
      <c r="C810">
        <v>65</v>
      </c>
      <c r="D810" t="s">
        <v>11</v>
      </c>
      <c r="E810" t="s">
        <v>1579</v>
      </c>
      <c r="F810" t="s">
        <v>1580</v>
      </c>
      <c r="G810">
        <v>134490</v>
      </c>
      <c r="I810" t="s">
        <v>14</v>
      </c>
    </row>
    <row r="811" spans="1:9">
      <c r="A811" t="s">
        <v>9</v>
      </c>
      <c r="B811" t="s">
        <v>10</v>
      </c>
      <c r="C811">
        <v>65</v>
      </c>
      <c r="D811" t="s">
        <v>11</v>
      </c>
      <c r="E811" t="s">
        <v>1581</v>
      </c>
      <c r="F811" t="s">
        <v>1582</v>
      </c>
      <c r="G811">
        <v>122790</v>
      </c>
      <c r="I811" t="s">
        <v>14</v>
      </c>
    </row>
    <row r="812" spans="1:9">
      <c r="A812" t="s">
        <v>9</v>
      </c>
      <c r="B812" t="s">
        <v>10</v>
      </c>
      <c r="C812">
        <v>65</v>
      </c>
      <c r="D812" t="s">
        <v>11</v>
      </c>
      <c r="E812" t="s">
        <v>1583</v>
      </c>
      <c r="F812" t="s">
        <v>1584</v>
      </c>
      <c r="G812">
        <v>187490</v>
      </c>
      <c r="I812" t="s">
        <v>14</v>
      </c>
    </row>
    <row r="813" spans="1:9">
      <c r="A813" t="s">
        <v>9</v>
      </c>
      <c r="B813" t="s">
        <v>10</v>
      </c>
      <c r="C813">
        <v>65</v>
      </c>
      <c r="D813" t="s">
        <v>11</v>
      </c>
      <c r="E813" t="s">
        <v>1585</v>
      </c>
      <c r="F813" t="s">
        <v>1586</v>
      </c>
      <c r="G813">
        <v>287670</v>
      </c>
      <c r="I813" t="s">
        <v>14</v>
      </c>
    </row>
    <row r="814" spans="1:9">
      <c r="A814" t="s">
        <v>9</v>
      </c>
      <c r="B814" t="s">
        <v>10</v>
      </c>
      <c r="C814">
        <v>65</v>
      </c>
      <c r="D814" t="s">
        <v>11</v>
      </c>
      <c r="E814" t="s">
        <v>1587</v>
      </c>
      <c r="F814" t="s">
        <v>1588</v>
      </c>
      <c r="G814">
        <v>141010</v>
      </c>
      <c r="I814" t="s">
        <v>14</v>
      </c>
    </row>
    <row r="815" spans="1:9">
      <c r="A815" t="s">
        <v>9</v>
      </c>
      <c r="B815" t="s">
        <v>10</v>
      </c>
      <c r="C815">
        <v>65</v>
      </c>
      <c r="D815" t="s">
        <v>11</v>
      </c>
      <c r="E815" t="s">
        <v>1589</v>
      </c>
      <c r="F815" t="s">
        <v>1590</v>
      </c>
      <c r="G815">
        <v>18660</v>
      </c>
      <c r="I815" t="s">
        <v>14</v>
      </c>
    </row>
    <row r="816" spans="1:9">
      <c r="A816" t="s">
        <v>9</v>
      </c>
      <c r="B816" t="s">
        <v>10</v>
      </c>
      <c r="C816">
        <v>65</v>
      </c>
      <c r="D816" t="s">
        <v>11</v>
      </c>
      <c r="E816" t="s">
        <v>1591</v>
      </c>
      <c r="F816" t="s">
        <v>1592</v>
      </c>
      <c r="G816">
        <v>10030</v>
      </c>
      <c r="I816" t="s">
        <v>14</v>
      </c>
    </row>
    <row r="817" spans="1:9">
      <c r="A817" t="s">
        <v>9</v>
      </c>
      <c r="B817" t="s">
        <v>10</v>
      </c>
      <c r="C817">
        <v>65</v>
      </c>
      <c r="D817" t="s">
        <v>11</v>
      </c>
      <c r="E817" t="s">
        <v>1593</v>
      </c>
      <c r="F817" t="s">
        <v>1594</v>
      </c>
      <c r="G817">
        <v>4560</v>
      </c>
      <c r="I817" t="s">
        <v>14</v>
      </c>
    </row>
    <row r="818" spans="1:9">
      <c r="A818" t="s">
        <v>9</v>
      </c>
      <c r="B818" t="s">
        <v>10</v>
      </c>
      <c r="C818">
        <v>65</v>
      </c>
      <c r="D818" t="s">
        <v>11</v>
      </c>
      <c r="E818" t="s">
        <v>1595</v>
      </c>
      <c r="F818" t="s">
        <v>1596</v>
      </c>
      <c r="G818">
        <v>12660</v>
      </c>
      <c r="I818" t="s">
        <v>14</v>
      </c>
    </row>
    <row r="819" spans="1:9">
      <c r="A819" t="s">
        <v>9</v>
      </c>
      <c r="B819" t="s">
        <v>10</v>
      </c>
      <c r="C819">
        <v>65</v>
      </c>
      <c r="D819" t="s">
        <v>11</v>
      </c>
      <c r="E819" t="s">
        <v>1597</v>
      </c>
      <c r="F819" t="s">
        <v>1598</v>
      </c>
      <c r="G819">
        <v>80850</v>
      </c>
      <c r="I819" t="s">
        <v>14</v>
      </c>
    </row>
    <row r="820" spans="1:9">
      <c r="A820" t="s">
        <v>9</v>
      </c>
      <c r="B820" t="s">
        <v>10</v>
      </c>
      <c r="C820">
        <v>65</v>
      </c>
      <c r="D820" t="s">
        <v>11</v>
      </c>
      <c r="E820" t="s">
        <v>1599</v>
      </c>
      <c r="F820" t="s">
        <v>1600</v>
      </c>
      <c r="G820">
        <v>81260</v>
      </c>
      <c r="I820" t="s">
        <v>14</v>
      </c>
    </row>
    <row r="821" spans="1:9">
      <c r="A821" t="s">
        <v>9</v>
      </c>
      <c r="B821" t="s">
        <v>10</v>
      </c>
      <c r="C821">
        <v>65</v>
      </c>
      <c r="D821" t="s">
        <v>11</v>
      </c>
      <c r="E821" t="s">
        <v>1601</v>
      </c>
      <c r="F821" t="s">
        <v>1602</v>
      </c>
      <c r="G821">
        <v>577550</v>
      </c>
      <c r="I821" t="s">
        <v>14</v>
      </c>
    </row>
    <row r="822" spans="1:9">
      <c r="A822" t="s">
        <v>9</v>
      </c>
      <c r="B822" t="s">
        <v>10</v>
      </c>
      <c r="C822">
        <v>65</v>
      </c>
      <c r="D822" t="s">
        <v>11</v>
      </c>
      <c r="E822" t="s">
        <v>1603</v>
      </c>
      <c r="F822" t="s">
        <v>1604</v>
      </c>
      <c r="G822">
        <v>286000</v>
      </c>
      <c r="I822" t="s">
        <v>14</v>
      </c>
    </row>
    <row r="823" spans="1:9">
      <c r="A823" t="s">
        <v>9</v>
      </c>
      <c r="B823" t="s">
        <v>10</v>
      </c>
      <c r="C823">
        <v>65</v>
      </c>
      <c r="D823" t="s">
        <v>11</v>
      </c>
      <c r="E823" t="s">
        <v>1605</v>
      </c>
      <c r="F823" t="s">
        <v>1606</v>
      </c>
      <c r="G823">
        <v>263460</v>
      </c>
      <c r="I823" t="s">
        <v>14</v>
      </c>
    </row>
    <row r="824" spans="1:9">
      <c r="A824" t="s">
        <v>9</v>
      </c>
      <c r="B824" t="s">
        <v>10</v>
      </c>
      <c r="C824">
        <v>65</v>
      </c>
      <c r="D824" t="s">
        <v>11</v>
      </c>
      <c r="E824" t="s">
        <v>1607</v>
      </c>
      <c r="F824" t="s">
        <v>1608</v>
      </c>
      <c r="G824">
        <v>489690</v>
      </c>
      <c r="I824" t="s">
        <v>14</v>
      </c>
    </row>
    <row r="825" spans="1:9">
      <c r="A825" t="s">
        <v>9</v>
      </c>
      <c r="B825" t="s">
        <v>10</v>
      </c>
      <c r="C825">
        <v>65</v>
      </c>
      <c r="D825" t="s">
        <v>11</v>
      </c>
      <c r="E825" t="s">
        <v>1609</v>
      </c>
      <c r="F825" t="s">
        <v>1610</v>
      </c>
      <c r="G825">
        <v>960270</v>
      </c>
      <c r="I825" t="s">
        <v>14</v>
      </c>
    </row>
    <row r="826" spans="1:9">
      <c r="A826" t="s">
        <v>9</v>
      </c>
      <c r="B826" t="s">
        <v>10</v>
      </c>
      <c r="C826">
        <v>65</v>
      </c>
      <c r="D826" t="s">
        <v>11</v>
      </c>
      <c r="E826" t="s">
        <v>1611</v>
      </c>
      <c r="F826" t="s">
        <v>1612</v>
      </c>
      <c r="G826">
        <v>716380</v>
      </c>
      <c r="I826" t="s">
        <v>14</v>
      </c>
    </row>
    <row r="827" spans="1:9">
      <c r="A827" t="s">
        <v>9</v>
      </c>
      <c r="B827" t="s">
        <v>10</v>
      </c>
      <c r="C827">
        <v>65</v>
      </c>
      <c r="D827" t="s">
        <v>11</v>
      </c>
      <c r="E827" t="s">
        <v>1613</v>
      </c>
      <c r="F827" t="s">
        <v>1614</v>
      </c>
      <c r="G827">
        <v>316150</v>
      </c>
      <c r="I827" t="s">
        <v>14</v>
      </c>
    </row>
    <row r="828" spans="1:9">
      <c r="A828" t="s">
        <v>9</v>
      </c>
      <c r="B828" t="s">
        <v>10</v>
      </c>
      <c r="C828">
        <v>65</v>
      </c>
      <c r="D828" t="s">
        <v>11</v>
      </c>
      <c r="E828" t="s">
        <v>1615</v>
      </c>
      <c r="F828" t="s">
        <v>1616</v>
      </c>
      <c r="G828">
        <v>54810</v>
      </c>
      <c r="I828" t="s">
        <v>14</v>
      </c>
    </row>
    <row r="829" spans="1:9">
      <c r="A829" t="s">
        <v>9</v>
      </c>
      <c r="B829" t="s">
        <v>10</v>
      </c>
      <c r="C829">
        <v>65</v>
      </c>
      <c r="D829" t="s">
        <v>11</v>
      </c>
      <c r="E829" t="s">
        <v>1617</v>
      </c>
      <c r="F829" t="s">
        <v>1618</v>
      </c>
      <c r="G829">
        <v>13180</v>
      </c>
      <c r="I829" t="s">
        <v>14</v>
      </c>
    </row>
    <row r="830" spans="1:9">
      <c r="A830" t="s">
        <v>9</v>
      </c>
      <c r="B830" t="s">
        <v>10</v>
      </c>
      <c r="C830">
        <v>65</v>
      </c>
      <c r="D830" t="s">
        <v>11</v>
      </c>
      <c r="E830" t="s">
        <v>1619</v>
      </c>
      <c r="F830" t="s">
        <v>1620</v>
      </c>
      <c r="G830">
        <v>38510</v>
      </c>
      <c r="I830" t="s">
        <v>14</v>
      </c>
    </row>
    <row r="831" spans="1:9">
      <c r="A831" t="s">
        <v>9</v>
      </c>
      <c r="B831" t="s">
        <v>10</v>
      </c>
      <c r="C831">
        <v>65</v>
      </c>
      <c r="D831" t="s">
        <v>11</v>
      </c>
      <c r="E831" t="s">
        <v>1621</v>
      </c>
      <c r="F831" t="s">
        <v>1622</v>
      </c>
      <c r="G831">
        <v>39310</v>
      </c>
      <c r="I831" t="s">
        <v>14</v>
      </c>
    </row>
    <row r="832" spans="1:9">
      <c r="A832" t="s">
        <v>9</v>
      </c>
      <c r="B832" t="s">
        <v>10</v>
      </c>
      <c r="C832">
        <v>65</v>
      </c>
      <c r="D832" t="s">
        <v>11</v>
      </c>
      <c r="E832" t="s">
        <v>1623</v>
      </c>
      <c r="F832" t="s">
        <v>1624</v>
      </c>
      <c r="G832">
        <v>112290</v>
      </c>
      <c r="I832" t="s">
        <v>14</v>
      </c>
    </row>
    <row r="833" spans="1:9">
      <c r="A833" t="s">
        <v>9</v>
      </c>
      <c r="B833" t="s">
        <v>10</v>
      </c>
      <c r="C833">
        <v>65</v>
      </c>
      <c r="D833" t="s">
        <v>11</v>
      </c>
      <c r="E833" t="s">
        <v>1625</v>
      </c>
      <c r="F833" t="s">
        <v>1626</v>
      </c>
      <c r="G833">
        <v>408401</v>
      </c>
      <c r="I833" t="s">
        <v>14</v>
      </c>
    </row>
    <row r="834" spans="1:9">
      <c r="A834" t="s">
        <v>9</v>
      </c>
      <c r="B834" t="s">
        <v>10</v>
      </c>
      <c r="C834">
        <v>65</v>
      </c>
      <c r="D834" t="s">
        <v>11</v>
      </c>
      <c r="E834" t="s">
        <v>1627</v>
      </c>
      <c r="F834" t="s">
        <v>1628</v>
      </c>
      <c r="G834">
        <v>134261</v>
      </c>
      <c r="I834" t="s">
        <v>14</v>
      </c>
    </row>
    <row r="835" spans="1:9">
      <c r="A835" t="s">
        <v>9</v>
      </c>
      <c r="B835" t="s">
        <v>10</v>
      </c>
      <c r="C835">
        <v>65</v>
      </c>
      <c r="D835" t="s">
        <v>11</v>
      </c>
      <c r="E835" t="s">
        <v>1629</v>
      </c>
      <c r="F835" t="s">
        <v>1630</v>
      </c>
      <c r="G835">
        <v>191575</v>
      </c>
      <c r="I835" t="s">
        <v>14</v>
      </c>
    </row>
    <row r="836" spans="1:9">
      <c r="A836" t="s">
        <v>9</v>
      </c>
      <c r="B836" t="s">
        <v>10</v>
      </c>
      <c r="C836">
        <v>65</v>
      </c>
      <c r="D836" t="s">
        <v>11</v>
      </c>
      <c r="E836" t="s">
        <v>1631</v>
      </c>
      <c r="F836" t="s">
        <v>1632</v>
      </c>
      <c r="G836">
        <v>161494</v>
      </c>
      <c r="I836" t="s">
        <v>14</v>
      </c>
    </row>
    <row r="837" spans="1:9">
      <c r="A837" t="s">
        <v>9</v>
      </c>
      <c r="B837" t="s">
        <v>10</v>
      </c>
      <c r="C837">
        <v>65</v>
      </c>
      <c r="D837" t="s">
        <v>11</v>
      </c>
      <c r="E837" t="s">
        <v>1633</v>
      </c>
      <c r="F837" t="s">
        <v>1634</v>
      </c>
      <c r="G837">
        <v>410581</v>
      </c>
      <c r="I837" t="s">
        <v>14</v>
      </c>
    </row>
    <row r="838" spans="1:9">
      <c r="A838" t="s">
        <v>9</v>
      </c>
      <c r="B838" t="s">
        <v>10</v>
      </c>
      <c r="C838">
        <v>65</v>
      </c>
      <c r="D838" t="s">
        <v>11</v>
      </c>
      <c r="E838" t="s">
        <v>1635</v>
      </c>
      <c r="F838" t="s">
        <v>1636</v>
      </c>
      <c r="G838">
        <v>336311</v>
      </c>
      <c r="I838" t="s">
        <v>14</v>
      </c>
    </row>
    <row r="839" spans="1:9">
      <c r="A839" t="s">
        <v>9</v>
      </c>
      <c r="B839" t="s">
        <v>10</v>
      </c>
      <c r="C839">
        <v>65</v>
      </c>
      <c r="D839" t="s">
        <v>11</v>
      </c>
      <c r="E839" t="s">
        <v>1637</v>
      </c>
      <c r="F839" t="s">
        <v>1638</v>
      </c>
      <c r="G839">
        <v>95259</v>
      </c>
      <c r="I839" t="s">
        <v>14</v>
      </c>
    </row>
    <row r="840" spans="1:9">
      <c r="A840" t="s">
        <v>9</v>
      </c>
      <c r="B840" t="s">
        <v>10</v>
      </c>
      <c r="C840">
        <v>65</v>
      </c>
      <c r="D840" t="s">
        <v>11</v>
      </c>
      <c r="E840" t="s">
        <v>1639</v>
      </c>
      <c r="F840" t="s">
        <v>1640</v>
      </c>
      <c r="G840">
        <v>22778</v>
      </c>
      <c r="I840" t="s">
        <v>14</v>
      </c>
    </row>
    <row r="841" spans="1:9">
      <c r="A841" t="s">
        <v>9</v>
      </c>
      <c r="B841" t="s">
        <v>10</v>
      </c>
      <c r="C841">
        <v>65</v>
      </c>
      <c r="D841" t="s">
        <v>11</v>
      </c>
      <c r="E841" t="s">
        <v>1641</v>
      </c>
      <c r="F841" t="s">
        <v>1642</v>
      </c>
      <c r="G841">
        <v>11611</v>
      </c>
      <c r="I841" t="s">
        <v>14</v>
      </c>
    </row>
    <row r="842" spans="1:9">
      <c r="A842" t="s">
        <v>9</v>
      </c>
      <c r="B842" t="s">
        <v>10</v>
      </c>
      <c r="C842">
        <v>65</v>
      </c>
      <c r="D842" t="s">
        <v>11</v>
      </c>
      <c r="E842" t="s">
        <v>1643</v>
      </c>
      <c r="F842" t="s">
        <v>1644</v>
      </c>
      <c r="G842">
        <v>10708</v>
      </c>
      <c r="I842" t="s">
        <v>14</v>
      </c>
    </row>
    <row r="843" spans="1:9">
      <c r="A843" t="s">
        <v>9</v>
      </c>
      <c r="B843" t="s">
        <v>10</v>
      </c>
      <c r="C843">
        <v>65</v>
      </c>
      <c r="D843" t="s">
        <v>11</v>
      </c>
      <c r="E843" t="s">
        <v>1645</v>
      </c>
      <c r="F843" t="s">
        <v>1646</v>
      </c>
      <c r="G843">
        <v>86508</v>
      </c>
      <c r="I843" t="s">
        <v>14</v>
      </c>
    </row>
    <row r="844" spans="1:9">
      <c r="A844" t="s">
        <v>9</v>
      </c>
      <c r="B844" t="s">
        <v>10</v>
      </c>
      <c r="C844">
        <v>65</v>
      </c>
      <c r="D844" t="s">
        <v>11</v>
      </c>
      <c r="E844" t="s">
        <v>1647</v>
      </c>
      <c r="F844" t="s">
        <v>1648</v>
      </c>
      <c r="G844">
        <v>123263</v>
      </c>
      <c r="I844" t="s">
        <v>14</v>
      </c>
    </row>
    <row r="845" spans="1:9">
      <c r="A845" t="s">
        <v>9</v>
      </c>
      <c r="B845" t="s">
        <v>10</v>
      </c>
      <c r="C845">
        <v>65</v>
      </c>
      <c r="D845" t="s">
        <v>11</v>
      </c>
      <c r="E845" t="s">
        <v>1649</v>
      </c>
      <c r="F845" t="s">
        <v>1650</v>
      </c>
      <c r="G845">
        <v>120518</v>
      </c>
      <c r="I845" t="s">
        <v>14</v>
      </c>
    </row>
    <row r="846" spans="1:9">
      <c r="A846" t="s">
        <v>9</v>
      </c>
      <c r="B846" t="s">
        <v>10</v>
      </c>
      <c r="C846">
        <v>65</v>
      </c>
      <c r="D846" t="s">
        <v>11</v>
      </c>
      <c r="E846" t="s">
        <v>1651</v>
      </c>
      <c r="F846" t="s">
        <v>1652</v>
      </c>
      <c r="G846">
        <v>94171</v>
      </c>
      <c r="I846" t="s">
        <v>14</v>
      </c>
    </row>
    <row r="847" spans="1:9">
      <c r="A847" t="s">
        <v>9</v>
      </c>
      <c r="B847" t="s">
        <v>10</v>
      </c>
      <c r="C847">
        <v>65</v>
      </c>
      <c r="D847" t="s">
        <v>11</v>
      </c>
      <c r="E847" t="s">
        <v>1653</v>
      </c>
      <c r="F847" t="s">
        <v>1654</v>
      </c>
      <c r="G847">
        <v>146321</v>
      </c>
      <c r="I847" t="s">
        <v>14</v>
      </c>
    </row>
    <row r="848" spans="1:9">
      <c r="A848" t="s">
        <v>9</v>
      </c>
      <c r="B848" t="s">
        <v>10</v>
      </c>
      <c r="C848">
        <v>65</v>
      </c>
      <c r="D848" t="s">
        <v>11</v>
      </c>
      <c r="E848" t="s">
        <v>1655</v>
      </c>
      <c r="F848" t="s">
        <v>1656</v>
      </c>
      <c r="G848">
        <v>194344</v>
      </c>
      <c r="I848" t="s">
        <v>14</v>
      </c>
    </row>
    <row r="849" spans="1:9">
      <c r="A849" t="s">
        <v>9</v>
      </c>
      <c r="B849" t="s">
        <v>10</v>
      </c>
      <c r="C849">
        <v>65</v>
      </c>
      <c r="D849" t="s">
        <v>11</v>
      </c>
      <c r="E849" t="s">
        <v>1657</v>
      </c>
      <c r="F849" t="s">
        <v>1658</v>
      </c>
      <c r="G849">
        <v>348928</v>
      </c>
      <c r="I849" t="s">
        <v>14</v>
      </c>
    </row>
    <row r="850" spans="1:9">
      <c r="A850" t="s">
        <v>9</v>
      </c>
      <c r="B850" t="s">
        <v>10</v>
      </c>
      <c r="C850">
        <v>65</v>
      </c>
      <c r="D850" t="s">
        <v>11</v>
      </c>
      <c r="E850" t="s">
        <v>1659</v>
      </c>
      <c r="F850" t="s">
        <v>1660</v>
      </c>
      <c r="G850">
        <v>418237</v>
      </c>
      <c r="I850" t="s">
        <v>14</v>
      </c>
    </row>
    <row r="851" spans="1:9">
      <c r="A851" t="s">
        <v>9</v>
      </c>
      <c r="B851" t="s">
        <v>10</v>
      </c>
      <c r="C851">
        <v>65</v>
      </c>
      <c r="D851" t="s">
        <v>11</v>
      </c>
      <c r="E851" t="s">
        <v>1661</v>
      </c>
      <c r="F851" t="s">
        <v>1662</v>
      </c>
      <c r="G851">
        <v>110670</v>
      </c>
      <c r="I851" t="s">
        <v>14</v>
      </c>
    </row>
    <row r="852" spans="1:9">
      <c r="A852" t="s">
        <v>9</v>
      </c>
      <c r="B852" t="s">
        <v>10</v>
      </c>
      <c r="C852">
        <v>65</v>
      </c>
      <c r="D852" t="s">
        <v>11</v>
      </c>
      <c r="E852" t="s">
        <v>1663</v>
      </c>
      <c r="F852" t="s">
        <v>1664</v>
      </c>
      <c r="G852">
        <v>19622</v>
      </c>
      <c r="I852" t="s">
        <v>14</v>
      </c>
    </row>
    <row r="853" spans="1:9">
      <c r="A853" t="s">
        <v>9</v>
      </c>
      <c r="B853" t="s">
        <v>10</v>
      </c>
      <c r="C853">
        <v>65</v>
      </c>
      <c r="D853" t="s">
        <v>11</v>
      </c>
      <c r="E853" t="s">
        <v>1665</v>
      </c>
      <c r="F853" t="s">
        <v>1666</v>
      </c>
      <c r="G853">
        <v>9844</v>
      </c>
      <c r="I853" t="s">
        <v>14</v>
      </c>
    </row>
    <row r="854" spans="1:9">
      <c r="A854" t="s">
        <v>9</v>
      </c>
      <c r="B854" t="s">
        <v>10</v>
      </c>
      <c r="C854">
        <v>65</v>
      </c>
      <c r="D854" t="s">
        <v>11</v>
      </c>
      <c r="E854" t="s">
        <v>1667</v>
      </c>
      <c r="F854" t="s">
        <v>1668</v>
      </c>
      <c r="G854">
        <v>6181</v>
      </c>
      <c r="I854" t="s">
        <v>14</v>
      </c>
    </row>
    <row r="855" spans="1:9">
      <c r="A855" t="s">
        <v>9</v>
      </c>
      <c r="B855" t="s">
        <v>10</v>
      </c>
      <c r="C855">
        <v>65</v>
      </c>
      <c r="D855" t="s">
        <v>11</v>
      </c>
      <c r="E855" t="s">
        <v>1669</v>
      </c>
      <c r="F855" t="s">
        <v>1670</v>
      </c>
      <c r="G855">
        <v>34871</v>
      </c>
      <c r="I855" t="s">
        <v>14</v>
      </c>
    </row>
    <row r="856" spans="1:9">
      <c r="A856" t="s">
        <v>9</v>
      </c>
      <c r="B856" t="s">
        <v>10</v>
      </c>
      <c r="C856">
        <v>65</v>
      </c>
      <c r="D856" t="s">
        <v>11</v>
      </c>
      <c r="E856" t="s">
        <v>1671</v>
      </c>
      <c r="F856" t="s">
        <v>1672</v>
      </c>
      <c r="G856">
        <v>76542</v>
      </c>
      <c r="I856" t="s">
        <v>14</v>
      </c>
    </row>
    <row r="857" spans="1:9">
      <c r="A857" t="s">
        <v>9</v>
      </c>
      <c r="B857" t="s">
        <v>10</v>
      </c>
      <c r="C857">
        <v>65</v>
      </c>
      <c r="D857" t="s">
        <v>11</v>
      </c>
      <c r="E857" t="s">
        <v>1673</v>
      </c>
      <c r="F857" t="s">
        <v>1674</v>
      </c>
      <c r="G857">
        <v>59357</v>
      </c>
      <c r="I857" t="s">
        <v>14</v>
      </c>
    </row>
    <row r="858" spans="1:9">
      <c r="A858" t="s">
        <v>9</v>
      </c>
      <c r="B858" t="s">
        <v>10</v>
      </c>
      <c r="C858">
        <v>65</v>
      </c>
      <c r="D858" t="s">
        <v>11</v>
      </c>
      <c r="E858" t="s">
        <v>1675</v>
      </c>
      <c r="F858" t="s">
        <v>1676</v>
      </c>
      <c r="G858">
        <v>78033</v>
      </c>
      <c r="I858" t="s">
        <v>14</v>
      </c>
    </row>
    <row r="859" spans="1:9">
      <c r="A859" t="s">
        <v>9</v>
      </c>
      <c r="B859" t="s">
        <v>10</v>
      </c>
      <c r="C859">
        <v>65</v>
      </c>
      <c r="D859" t="s">
        <v>11</v>
      </c>
      <c r="E859" t="s">
        <v>1677</v>
      </c>
      <c r="F859" t="s">
        <v>1678</v>
      </c>
      <c r="G859">
        <v>181513</v>
      </c>
      <c r="I859" t="s">
        <v>14</v>
      </c>
    </row>
    <row r="860" spans="1:9">
      <c r="A860" t="s">
        <v>9</v>
      </c>
      <c r="B860" t="s">
        <v>10</v>
      </c>
      <c r="C860">
        <v>65</v>
      </c>
      <c r="D860" t="s">
        <v>11</v>
      </c>
      <c r="E860" t="s">
        <v>1679</v>
      </c>
      <c r="F860" t="s">
        <v>1680</v>
      </c>
      <c r="G860">
        <v>155728</v>
      </c>
      <c r="I860" t="s">
        <v>14</v>
      </c>
    </row>
    <row r="861" spans="1:9">
      <c r="A861" t="s">
        <v>9</v>
      </c>
      <c r="B861" t="s">
        <v>10</v>
      </c>
      <c r="C861">
        <v>65</v>
      </c>
      <c r="D861" t="s">
        <v>11</v>
      </c>
      <c r="E861" t="s">
        <v>1681</v>
      </c>
      <c r="F861" t="s">
        <v>1682</v>
      </c>
      <c r="G861">
        <v>344130</v>
      </c>
      <c r="I861" t="s">
        <v>14</v>
      </c>
    </row>
    <row r="862" spans="1:9">
      <c r="A862" t="s">
        <v>9</v>
      </c>
      <c r="B862" t="s">
        <v>10</v>
      </c>
      <c r="C862">
        <v>65</v>
      </c>
      <c r="D862" t="s">
        <v>11</v>
      </c>
      <c r="E862" t="s">
        <v>1683</v>
      </c>
      <c r="F862" t="s">
        <v>1684</v>
      </c>
      <c r="G862">
        <v>219544</v>
      </c>
      <c r="I862" t="s">
        <v>14</v>
      </c>
    </row>
    <row r="863" spans="1:9">
      <c r="A863" t="s">
        <v>9</v>
      </c>
      <c r="B863" t="s">
        <v>10</v>
      </c>
      <c r="C863">
        <v>65</v>
      </c>
      <c r="D863" t="s">
        <v>11</v>
      </c>
      <c r="E863" t="s">
        <v>1685</v>
      </c>
      <c r="F863" t="s">
        <v>1686</v>
      </c>
      <c r="G863">
        <v>28337</v>
      </c>
      <c r="I863" t="s">
        <v>14</v>
      </c>
    </row>
    <row r="864" spans="1:9">
      <c r="A864" t="s">
        <v>9</v>
      </c>
      <c r="B864" t="s">
        <v>10</v>
      </c>
      <c r="C864">
        <v>65</v>
      </c>
      <c r="D864" t="s">
        <v>11</v>
      </c>
      <c r="E864" t="s">
        <v>1687</v>
      </c>
      <c r="F864" t="s">
        <v>1688</v>
      </c>
      <c r="G864">
        <v>11399</v>
      </c>
      <c r="I864" t="s">
        <v>14</v>
      </c>
    </row>
    <row r="865" spans="1:9">
      <c r="A865" t="s">
        <v>9</v>
      </c>
      <c r="B865" t="s">
        <v>10</v>
      </c>
      <c r="C865">
        <v>65</v>
      </c>
      <c r="D865" t="s">
        <v>11</v>
      </c>
      <c r="E865" t="s">
        <v>1689</v>
      </c>
      <c r="F865" t="s">
        <v>1690</v>
      </c>
      <c r="G865">
        <v>10977</v>
      </c>
      <c r="I865" t="s">
        <v>14</v>
      </c>
    </row>
    <row r="866" spans="1:9">
      <c r="A866" t="s">
        <v>9</v>
      </c>
      <c r="B866" t="s">
        <v>10</v>
      </c>
      <c r="C866">
        <v>65</v>
      </c>
      <c r="D866" t="s">
        <v>11</v>
      </c>
      <c r="E866" t="s">
        <v>1691</v>
      </c>
      <c r="F866" t="s">
        <v>1692</v>
      </c>
      <c r="G866">
        <v>11383</v>
      </c>
      <c r="I866" t="s">
        <v>14</v>
      </c>
    </row>
    <row r="867" spans="1:9">
      <c r="A867" t="s">
        <v>9</v>
      </c>
      <c r="B867" t="s">
        <v>10</v>
      </c>
      <c r="C867">
        <v>65</v>
      </c>
      <c r="D867" t="s">
        <v>11</v>
      </c>
      <c r="E867" t="s">
        <v>1693</v>
      </c>
      <c r="F867" t="s">
        <v>1694</v>
      </c>
      <c r="G867">
        <v>36095</v>
      </c>
      <c r="I867" t="s">
        <v>14</v>
      </c>
    </row>
    <row r="868" spans="1:9">
      <c r="A868" t="s">
        <v>9</v>
      </c>
      <c r="B868" t="s">
        <v>10</v>
      </c>
      <c r="C868">
        <v>65</v>
      </c>
      <c r="D868" t="s">
        <v>11</v>
      </c>
      <c r="E868" t="s">
        <v>1695</v>
      </c>
      <c r="F868" t="s">
        <v>1696</v>
      </c>
      <c r="G868">
        <v>86247</v>
      </c>
      <c r="I868" t="s">
        <v>14</v>
      </c>
    </row>
    <row r="869" spans="1:9">
      <c r="A869" t="s">
        <v>9</v>
      </c>
      <c r="B869" t="s">
        <v>10</v>
      </c>
      <c r="C869">
        <v>65</v>
      </c>
      <c r="D869" t="s">
        <v>11</v>
      </c>
      <c r="E869" t="s">
        <v>1697</v>
      </c>
      <c r="F869" t="s">
        <v>1698</v>
      </c>
      <c r="G869">
        <v>139557</v>
      </c>
      <c r="I869" t="s">
        <v>14</v>
      </c>
    </row>
    <row r="870" spans="1:9">
      <c r="A870" t="s">
        <v>9</v>
      </c>
      <c r="B870" t="s">
        <v>10</v>
      </c>
      <c r="C870">
        <v>65</v>
      </c>
      <c r="D870" t="s">
        <v>11</v>
      </c>
      <c r="E870" t="s">
        <v>1699</v>
      </c>
      <c r="F870" t="s">
        <v>1700</v>
      </c>
      <c r="G870">
        <v>186063</v>
      </c>
      <c r="I870" t="s">
        <v>14</v>
      </c>
    </row>
    <row r="871" spans="1:9">
      <c r="A871" t="s">
        <v>9</v>
      </c>
      <c r="B871" t="s">
        <v>10</v>
      </c>
      <c r="C871">
        <v>65</v>
      </c>
      <c r="D871" t="s">
        <v>11</v>
      </c>
      <c r="E871" t="s">
        <v>1701</v>
      </c>
      <c r="F871" t="s">
        <v>1702</v>
      </c>
      <c r="G871">
        <v>173431</v>
      </c>
      <c r="I871" t="s">
        <v>14</v>
      </c>
    </row>
    <row r="872" spans="1:9">
      <c r="A872" t="s">
        <v>9</v>
      </c>
      <c r="B872" t="s">
        <v>10</v>
      </c>
      <c r="C872">
        <v>65</v>
      </c>
      <c r="D872" t="s">
        <v>11</v>
      </c>
      <c r="E872" t="s">
        <v>1703</v>
      </c>
      <c r="F872" t="s">
        <v>1704</v>
      </c>
      <c r="G872">
        <v>259406</v>
      </c>
      <c r="I872" t="s">
        <v>14</v>
      </c>
    </row>
    <row r="873" spans="1:9">
      <c r="A873" t="s">
        <v>9</v>
      </c>
      <c r="B873" t="s">
        <v>10</v>
      </c>
      <c r="C873">
        <v>65</v>
      </c>
      <c r="D873" t="s">
        <v>11</v>
      </c>
      <c r="E873" t="s">
        <v>1705</v>
      </c>
      <c r="F873" t="s">
        <v>1706</v>
      </c>
      <c r="G873">
        <v>655184</v>
      </c>
      <c r="I873" t="s">
        <v>14</v>
      </c>
    </row>
    <row r="874" spans="1:9">
      <c r="A874" t="s">
        <v>9</v>
      </c>
      <c r="B874" t="s">
        <v>10</v>
      </c>
      <c r="C874">
        <v>65</v>
      </c>
      <c r="D874" t="s">
        <v>11</v>
      </c>
      <c r="E874" t="s">
        <v>1707</v>
      </c>
      <c r="F874" t="s">
        <v>1708</v>
      </c>
      <c r="G874">
        <v>400351</v>
      </c>
      <c r="I874" t="s">
        <v>14</v>
      </c>
    </row>
    <row r="875" spans="1:9">
      <c r="A875" t="s">
        <v>9</v>
      </c>
      <c r="B875" t="s">
        <v>10</v>
      </c>
      <c r="C875">
        <v>65</v>
      </c>
      <c r="D875" t="s">
        <v>11</v>
      </c>
      <c r="E875" t="s">
        <v>1709</v>
      </c>
      <c r="F875" t="s">
        <v>1710</v>
      </c>
      <c r="G875">
        <v>57348</v>
      </c>
      <c r="I875" t="s">
        <v>14</v>
      </c>
    </row>
    <row r="876" spans="1:9">
      <c r="A876" t="s">
        <v>9</v>
      </c>
      <c r="B876" t="s">
        <v>10</v>
      </c>
      <c r="C876">
        <v>65</v>
      </c>
      <c r="D876" t="s">
        <v>11</v>
      </c>
      <c r="E876" t="s">
        <v>1711</v>
      </c>
      <c r="F876" t="s">
        <v>1712</v>
      </c>
      <c r="G876">
        <v>19710</v>
      </c>
      <c r="I876" t="s">
        <v>14</v>
      </c>
    </row>
    <row r="877" spans="1:9">
      <c r="A877" t="s">
        <v>9</v>
      </c>
      <c r="B877" t="s">
        <v>10</v>
      </c>
      <c r="C877">
        <v>65</v>
      </c>
      <c r="D877" t="s">
        <v>11</v>
      </c>
      <c r="E877" t="s">
        <v>1713</v>
      </c>
      <c r="F877" t="s">
        <v>1714</v>
      </c>
      <c r="G877">
        <v>5921</v>
      </c>
      <c r="I877" t="s">
        <v>14</v>
      </c>
    </row>
    <row r="878" spans="1:9">
      <c r="A878" t="s">
        <v>9</v>
      </c>
      <c r="B878" t="s">
        <v>10</v>
      </c>
      <c r="C878">
        <v>65</v>
      </c>
      <c r="D878" t="s">
        <v>11</v>
      </c>
      <c r="E878" t="s">
        <v>1715</v>
      </c>
      <c r="F878" t="s">
        <v>1716</v>
      </c>
      <c r="G878">
        <v>17349</v>
      </c>
      <c r="I878" t="s">
        <v>14</v>
      </c>
    </row>
    <row r="879" spans="1:9">
      <c r="A879" t="s">
        <v>9</v>
      </c>
      <c r="B879" t="s">
        <v>10</v>
      </c>
      <c r="C879">
        <v>65</v>
      </c>
      <c r="D879" t="s">
        <v>11</v>
      </c>
      <c r="E879" t="s">
        <v>1717</v>
      </c>
      <c r="F879" t="s">
        <v>1718</v>
      </c>
      <c r="G879">
        <v>171392</v>
      </c>
      <c r="I879" t="s">
        <v>14</v>
      </c>
    </row>
    <row r="880" spans="1:9">
      <c r="A880" t="s">
        <v>9</v>
      </c>
      <c r="B880" t="s">
        <v>10</v>
      </c>
      <c r="C880">
        <v>65</v>
      </c>
      <c r="D880" t="s">
        <v>11</v>
      </c>
      <c r="E880" t="s">
        <v>1719</v>
      </c>
      <c r="F880" t="s">
        <v>1720</v>
      </c>
      <c r="G880">
        <v>136459</v>
      </c>
      <c r="I880" t="s">
        <v>14</v>
      </c>
    </row>
    <row r="881" spans="1:9">
      <c r="A881" t="s">
        <v>9</v>
      </c>
      <c r="B881" t="s">
        <v>10</v>
      </c>
      <c r="C881">
        <v>65</v>
      </c>
      <c r="D881" t="s">
        <v>11</v>
      </c>
      <c r="E881" t="s">
        <v>1721</v>
      </c>
      <c r="F881" t="s">
        <v>1722</v>
      </c>
      <c r="G881">
        <v>179857</v>
      </c>
      <c r="I881" t="s">
        <v>14</v>
      </c>
    </row>
    <row r="882" spans="1:9">
      <c r="A882" t="s">
        <v>9</v>
      </c>
      <c r="B882" t="s">
        <v>10</v>
      </c>
      <c r="C882">
        <v>65</v>
      </c>
      <c r="D882" t="s">
        <v>11</v>
      </c>
      <c r="E882" t="s">
        <v>1723</v>
      </c>
      <c r="F882" t="s">
        <v>1724</v>
      </c>
      <c r="G882">
        <v>68703</v>
      </c>
      <c r="I882" t="s">
        <v>14</v>
      </c>
    </row>
    <row r="883" spans="1:9">
      <c r="A883" t="s">
        <v>9</v>
      </c>
      <c r="B883" t="s">
        <v>10</v>
      </c>
      <c r="C883">
        <v>65</v>
      </c>
      <c r="D883" t="s">
        <v>11</v>
      </c>
      <c r="E883" t="s">
        <v>1725</v>
      </c>
      <c r="F883" t="s">
        <v>1726</v>
      </c>
      <c r="G883">
        <v>228524</v>
      </c>
      <c r="I883" t="s">
        <v>14</v>
      </c>
    </row>
    <row r="884" spans="1:9">
      <c r="A884" t="s">
        <v>9</v>
      </c>
      <c r="B884" t="s">
        <v>10</v>
      </c>
      <c r="C884">
        <v>65</v>
      </c>
      <c r="D884" t="s">
        <v>11</v>
      </c>
      <c r="E884" t="s">
        <v>1727</v>
      </c>
      <c r="F884" t="s">
        <v>1728</v>
      </c>
      <c r="G884">
        <v>273856</v>
      </c>
      <c r="I884" t="s">
        <v>14</v>
      </c>
    </row>
    <row r="885" spans="1:9">
      <c r="A885" t="s">
        <v>9</v>
      </c>
      <c r="B885" t="s">
        <v>10</v>
      </c>
      <c r="C885">
        <v>65</v>
      </c>
      <c r="D885" t="s">
        <v>11</v>
      </c>
      <c r="E885" t="s">
        <v>1729</v>
      </c>
      <c r="F885" t="s">
        <v>1730</v>
      </c>
      <c r="G885">
        <v>560604</v>
      </c>
      <c r="I885" t="s">
        <v>14</v>
      </c>
    </row>
    <row r="886" spans="1:9">
      <c r="A886" t="s">
        <v>9</v>
      </c>
      <c r="B886" t="s">
        <v>10</v>
      </c>
      <c r="C886">
        <v>65</v>
      </c>
      <c r="D886" t="s">
        <v>11</v>
      </c>
      <c r="E886" t="s">
        <v>1731</v>
      </c>
      <c r="F886" t="s">
        <v>1732</v>
      </c>
      <c r="G886">
        <v>441592</v>
      </c>
      <c r="I886" t="s">
        <v>14</v>
      </c>
    </row>
    <row r="887" spans="1:9">
      <c r="A887" t="s">
        <v>9</v>
      </c>
      <c r="B887" t="s">
        <v>10</v>
      </c>
      <c r="C887">
        <v>65</v>
      </c>
      <c r="D887" t="s">
        <v>11</v>
      </c>
      <c r="E887" t="s">
        <v>1733</v>
      </c>
      <c r="F887" t="s">
        <v>1734</v>
      </c>
      <c r="G887">
        <v>122525</v>
      </c>
      <c r="I887" t="s">
        <v>14</v>
      </c>
    </row>
    <row r="888" spans="1:9">
      <c r="A888" t="s">
        <v>9</v>
      </c>
      <c r="B888" t="s">
        <v>10</v>
      </c>
      <c r="C888">
        <v>65</v>
      </c>
      <c r="D888" t="s">
        <v>11</v>
      </c>
      <c r="E888" t="s">
        <v>1735</v>
      </c>
      <c r="F888" t="s">
        <v>1736</v>
      </c>
      <c r="G888">
        <v>28530</v>
      </c>
      <c r="I888" t="s">
        <v>14</v>
      </c>
    </row>
    <row r="889" spans="1:9">
      <c r="A889" t="s">
        <v>9</v>
      </c>
      <c r="B889" t="s">
        <v>10</v>
      </c>
      <c r="C889">
        <v>65</v>
      </c>
      <c r="D889" t="s">
        <v>11</v>
      </c>
      <c r="E889" t="s">
        <v>1737</v>
      </c>
      <c r="F889" t="s">
        <v>1738</v>
      </c>
      <c r="G889">
        <v>9509</v>
      </c>
      <c r="I889" t="s">
        <v>14</v>
      </c>
    </row>
    <row r="890" spans="1:9">
      <c r="A890" t="s">
        <v>9</v>
      </c>
      <c r="B890" t="s">
        <v>10</v>
      </c>
      <c r="C890">
        <v>65</v>
      </c>
      <c r="D890" t="s">
        <v>11</v>
      </c>
      <c r="E890" t="s">
        <v>1739</v>
      </c>
      <c r="F890" t="s">
        <v>1740</v>
      </c>
      <c r="G890">
        <v>14696</v>
      </c>
      <c r="I890" t="s">
        <v>14</v>
      </c>
    </row>
    <row r="891" spans="1:9">
      <c r="A891" t="s">
        <v>9</v>
      </c>
      <c r="B891" t="s">
        <v>10</v>
      </c>
      <c r="C891">
        <v>65</v>
      </c>
      <c r="D891" t="s">
        <v>11</v>
      </c>
      <c r="E891" t="s">
        <v>1741</v>
      </c>
      <c r="F891" t="s">
        <v>1742</v>
      </c>
      <c r="G891">
        <v>12097</v>
      </c>
      <c r="I891" t="s">
        <v>14</v>
      </c>
    </row>
    <row r="892" spans="1:9">
      <c r="A892" t="s">
        <v>9</v>
      </c>
      <c r="B892" t="s">
        <v>10</v>
      </c>
      <c r="C892">
        <v>65</v>
      </c>
      <c r="D892" t="s">
        <v>11</v>
      </c>
      <c r="E892" t="s">
        <v>1743</v>
      </c>
      <c r="F892" t="s">
        <v>1744</v>
      </c>
      <c r="G892">
        <v>35351</v>
      </c>
      <c r="I892" t="s">
        <v>14</v>
      </c>
    </row>
    <row r="893" spans="1:9">
      <c r="A893" t="s">
        <v>9</v>
      </c>
      <c r="B893" t="s">
        <v>10</v>
      </c>
      <c r="C893">
        <v>65</v>
      </c>
      <c r="D893" t="s">
        <v>11</v>
      </c>
      <c r="E893" t="s">
        <v>1745</v>
      </c>
      <c r="F893" t="s">
        <v>1746</v>
      </c>
      <c r="G893">
        <v>53853</v>
      </c>
      <c r="I893" t="s">
        <v>14</v>
      </c>
    </row>
    <row r="894" spans="1:9">
      <c r="A894" t="s">
        <v>9</v>
      </c>
      <c r="B894" t="s">
        <v>10</v>
      </c>
      <c r="C894">
        <v>65</v>
      </c>
      <c r="D894" t="s">
        <v>11</v>
      </c>
      <c r="E894" t="s">
        <v>1747</v>
      </c>
      <c r="F894" t="s">
        <v>1748</v>
      </c>
      <c r="G894">
        <v>144319</v>
      </c>
      <c r="I894" t="s">
        <v>14</v>
      </c>
    </row>
    <row r="895" spans="1:9">
      <c r="A895" t="s">
        <v>9</v>
      </c>
      <c r="B895" t="s">
        <v>10</v>
      </c>
      <c r="C895">
        <v>65</v>
      </c>
      <c r="D895" t="s">
        <v>11</v>
      </c>
      <c r="E895" t="s">
        <v>1749</v>
      </c>
      <c r="F895" t="s">
        <v>1750</v>
      </c>
      <c r="G895">
        <v>224186</v>
      </c>
      <c r="I895" t="s">
        <v>14</v>
      </c>
    </row>
    <row r="896" spans="1:9">
      <c r="A896" t="s">
        <v>9</v>
      </c>
      <c r="B896" t="s">
        <v>10</v>
      </c>
      <c r="C896">
        <v>65</v>
      </c>
      <c r="D896" t="s">
        <v>11</v>
      </c>
      <c r="E896" t="s">
        <v>1751</v>
      </c>
      <c r="F896" t="s">
        <v>1752</v>
      </c>
      <c r="G896">
        <v>176275</v>
      </c>
      <c r="I896" t="s">
        <v>14</v>
      </c>
    </row>
    <row r="897" spans="1:9">
      <c r="A897" t="s">
        <v>9</v>
      </c>
      <c r="B897" t="s">
        <v>10</v>
      </c>
      <c r="C897">
        <v>65</v>
      </c>
      <c r="D897" t="s">
        <v>11</v>
      </c>
      <c r="E897" t="s">
        <v>1753</v>
      </c>
      <c r="F897" t="s">
        <v>1754</v>
      </c>
      <c r="G897">
        <v>582040</v>
      </c>
      <c r="I897" t="s">
        <v>14</v>
      </c>
    </row>
    <row r="898" spans="1:9">
      <c r="A898" t="s">
        <v>9</v>
      </c>
      <c r="B898" t="s">
        <v>10</v>
      </c>
      <c r="C898">
        <v>65</v>
      </c>
      <c r="D898" t="s">
        <v>11</v>
      </c>
      <c r="E898" t="s">
        <v>1755</v>
      </c>
      <c r="F898" t="s">
        <v>1756</v>
      </c>
      <c r="G898">
        <v>596315</v>
      </c>
      <c r="I898" t="s">
        <v>14</v>
      </c>
    </row>
    <row r="899" spans="1:9">
      <c r="A899" t="s">
        <v>9</v>
      </c>
      <c r="B899" t="s">
        <v>10</v>
      </c>
      <c r="C899">
        <v>65</v>
      </c>
      <c r="D899" t="s">
        <v>11</v>
      </c>
      <c r="E899" t="s">
        <v>1757</v>
      </c>
      <c r="F899" t="s">
        <v>1758</v>
      </c>
      <c r="G899">
        <v>151335</v>
      </c>
      <c r="I899" t="s">
        <v>14</v>
      </c>
    </row>
    <row r="900" spans="1:9">
      <c r="A900" t="s">
        <v>9</v>
      </c>
      <c r="B900" t="s">
        <v>10</v>
      </c>
      <c r="C900">
        <v>65</v>
      </c>
      <c r="D900" t="s">
        <v>11</v>
      </c>
      <c r="E900" t="s">
        <v>1759</v>
      </c>
      <c r="F900" t="s">
        <v>1760</v>
      </c>
      <c r="G900">
        <v>27588</v>
      </c>
      <c r="I900" t="s">
        <v>14</v>
      </c>
    </row>
    <row r="901" spans="1:9">
      <c r="A901" t="s">
        <v>9</v>
      </c>
      <c r="B901" t="s">
        <v>10</v>
      </c>
      <c r="C901">
        <v>65</v>
      </c>
      <c r="D901" t="s">
        <v>11</v>
      </c>
      <c r="E901" t="s">
        <v>1761</v>
      </c>
      <c r="F901" t="s">
        <v>1762</v>
      </c>
      <c r="G901">
        <v>14616</v>
      </c>
      <c r="I901" t="s">
        <v>14</v>
      </c>
    </row>
    <row r="902" spans="1:9">
      <c r="A902" t="s">
        <v>9</v>
      </c>
      <c r="B902" t="s">
        <v>10</v>
      </c>
      <c r="C902">
        <v>65</v>
      </c>
      <c r="D902" t="s">
        <v>11</v>
      </c>
      <c r="E902" t="s">
        <v>1763</v>
      </c>
      <c r="F902" t="s">
        <v>1764</v>
      </c>
      <c r="G902">
        <v>70108</v>
      </c>
      <c r="I902" t="s">
        <v>14</v>
      </c>
    </row>
    <row r="903" spans="1:9">
      <c r="A903" t="s">
        <v>9</v>
      </c>
      <c r="B903" t="s">
        <v>10</v>
      </c>
      <c r="C903">
        <v>65</v>
      </c>
      <c r="D903" t="s">
        <v>11</v>
      </c>
      <c r="E903" t="s">
        <v>1765</v>
      </c>
      <c r="F903" t="s">
        <v>1766</v>
      </c>
      <c r="G903">
        <v>55730</v>
      </c>
      <c r="I903" t="s">
        <v>14</v>
      </c>
    </row>
    <row r="904" spans="1:9">
      <c r="A904" t="s">
        <v>9</v>
      </c>
      <c r="B904" t="s">
        <v>10</v>
      </c>
      <c r="C904">
        <v>65</v>
      </c>
      <c r="D904" t="s">
        <v>11</v>
      </c>
      <c r="E904" t="s">
        <v>1767</v>
      </c>
      <c r="F904" t="s">
        <v>1768</v>
      </c>
      <c r="G904">
        <v>31628</v>
      </c>
      <c r="I904" t="s">
        <v>14</v>
      </c>
    </row>
    <row r="905" spans="1:9">
      <c r="A905" t="s">
        <v>9</v>
      </c>
      <c r="B905" t="s">
        <v>10</v>
      </c>
      <c r="C905">
        <v>65</v>
      </c>
      <c r="D905" t="s">
        <v>11</v>
      </c>
      <c r="E905" t="s">
        <v>1769</v>
      </c>
      <c r="F905" t="s">
        <v>1770</v>
      </c>
      <c r="G905">
        <v>7882</v>
      </c>
      <c r="I905" t="s">
        <v>14</v>
      </c>
    </row>
    <row r="906" spans="1:9">
      <c r="A906" t="s">
        <v>9</v>
      </c>
      <c r="B906" t="s">
        <v>10</v>
      </c>
      <c r="C906">
        <v>65</v>
      </c>
      <c r="D906" t="s">
        <v>11</v>
      </c>
      <c r="E906" t="s">
        <v>1771</v>
      </c>
      <c r="F906" t="s">
        <v>1772</v>
      </c>
      <c r="G906">
        <v>37803</v>
      </c>
      <c r="I906" t="s">
        <v>14</v>
      </c>
    </row>
    <row r="907" spans="1:9">
      <c r="A907" t="s">
        <v>9</v>
      </c>
      <c r="B907" t="s">
        <v>10</v>
      </c>
      <c r="C907">
        <v>65</v>
      </c>
      <c r="D907" t="s">
        <v>11</v>
      </c>
      <c r="E907" t="s">
        <v>1773</v>
      </c>
      <c r="F907" t="s">
        <v>1774</v>
      </c>
      <c r="G907">
        <v>70677</v>
      </c>
      <c r="I907" t="s">
        <v>14</v>
      </c>
    </row>
    <row r="908" spans="1:9">
      <c r="A908" t="s">
        <v>9</v>
      </c>
      <c r="B908" t="s">
        <v>10</v>
      </c>
      <c r="C908">
        <v>65</v>
      </c>
      <c r="D908" t="s">
        <v>11</v>
      </c>
      <c r="E908" t="s">
        <v>1775</v>
      </c>
      <c r="F908" t="s">
        <v>1776</v>
      </c>
      <c r="G908">
        <v>99529</v>
      </c>
      <c r="I908" t="s">
        <v>14</v>
      </c>
    </row>
    <row r="909" spans="1:9">
      <c r="A909" t="s">
        <v>9</v>
      </c>
      <c r="B909" t="s">
        <v>10</v>
      </c>
      <c r="C909">
        <v>65</v>
      </c>
      <c r="D909" t="s">
        <v>11</v>
      </c>
      <c r="E909" t="s">
        <v>1777</v>
      </c>
      <c r="F909" t="s">
        <v>1778</v>
      </c>
      <c r="G909">
        <v>208988</v>
      </c>
      <c r="I909" t="s">
        <v>14</v>
      </c>
    </row>
    <row r="910" spans="1:9">
      <c r="A910" t="s">
        <v>9</v>
      </c>
      <c r="B910" t="s">
        <v>10</v>
      </c>
      <c r="C910">
        <v>65</v>
      </c>
      <c r="D910" t="s">
        <v>11</v>
      </c>
      <c r="E910" t="s">
        <v>1779</v>
      </c>
      <c r="F910" t="s">
        <v>1780</v>
      </c>
      <c r="G910">
        <v>39626</v>
      </c>
      <c r="I910" t="s">
        <v>14</v>
      </c>
    </row>
    <row r="911" spans="1:9">
      <c r="A911" t="s">
        <v>9</v>
      </c>
      <c r="B911" t="s">
        <v>10</v>
      </c>
      <c r="C911">
        <v>65</v>
      </c>
      <c r="D911" t="s">
        <v>11</v>
      </c>
      <c r="E911" t="s">
        <v>1781</v>
      </c>
      <c r="F911" t="s">
        <v>1782</v>
      </c>
      <c r="G911">
        <v>14404</v>
      </c>
      <c r="I911" t="s">
        <v>14</v>
      </c>
    </row>
    <row r="912" spans="1:9">
      <c r="A912" t="s">
        <v>9</v>
      </c>
      <c r="B912" t="s">
        <v>10</v>
      </c>
      <c r="C912">
        <v>65</v>
      </c>
      <c r="D912" t="s">
        <v>11</v>
      </c>
      <c r="E912" t="s">
        <v>1783</v>
      </c>
      <c r="F912" t="s">
        <v>1784</v>
      </c>
      <c r="G912">
        <v>20664</v>
      </c>
      <c r="I912" t="s">
        <v>14</v>
      </c>
    </row>
    <row r="913" spans="1:9">
      <c r="A913" t="s">
        <v>9</v>
      </c>
      <c r="B913" t="s">
        <v>10</v>
      </c>
      <c r="C913">
        <v>65</v>
      </c>
      <c r="D913" t="s">
        <v>11</v>
      </c>
      <c r="E913" t="s">
        <v>1785</v>
      </c>
      <c r="F913" t="s">
        <v>1786</v>
      </c>
      <c r="G913">
        <v>13559</v>
      </c>
      <c r="I913" t="s">
        <v>14</v>
      </c>
    </row>
    <row r="914" spans="1:9">
      <c r="A914" t="s">
        <v>9</v>
      </c>
      <c r="B914" t="s">
        <v>10</v>
      </c>
      <c r="C914">
        <v>65</v>
      </c>
      <c r="D914" t="s">
        <v>11</v>
      </c>
      <c r="E914" t="s">
        <v>1787</v>
      </c>
      <c r="F914" t="s">
        <v>1788</v>
      </c>
      <c r="G914">
        <v>12105</v>
      </c>
      <c r="I914" t="s">
        <v>14</v>
      </c>
    </row>
    <row r="915" spans="1:9">
      <c r="A915" t="s">
        <v>9</v>
      </c>
      <c r="B915" t="s">
        <v>10</v>
      </c>
      <c r="C915">
        <v>65</v>
      </c>
      <c r="D915" t="s">
        <v>11</v>
      </c>
      <c r="E915" t="s">
        <v>1789</v>
      </c>
      <c r="F915" t="s">
        <v>1790</v>
      </c>
      <c r="G915">
        <v>8503</v>
      </c>
      <c r="I915" t="s">
        <v>14</v>
      </c>
    </row>
    <row r="916" spans="1:9">
      <c r="A916" t="s">
        <v>9</v>
      </c>
      <c r="B916" t="s">
        <v>10</v>
      </c>
      <c r="C916">
        <v>65</v>
      </c>
      <c r="D916" t="s">
        <v>11</v>
      </c>
      <c r="E916" t="s">
        <v>1791</v>
      </c>
      <c r="F916" t="s">
        <v>1792</v>
      </c>
      <c r="G916">
        <v>3370</v>
      </c>
      <c r="I916" t="s">
        <v>14</v>
      </c>
    </row>
    <row r="917" spans="1:9">
      <c r="A917" t="s">
        <v>9</v>
      </c>
      <c r="B917" t="s">
        <v>10</v>
      </c>
      <c r="C917">
        <v>65</v>
      </c>
      <c r="D917" t="s">
        <v>11</v>
      </c>
      <c r="E917" t="s">
        <v>1793</v>
      </c>
      <c r="F917" t="s">
        <v>1794</v>
      </c>
      <c r="G917">
        <v>10740</v>
      </c>
      <c r="I917" t="s">
        <v>14</v>
      </c>
    </row>
    <row r="918" spans="1:9">
      <c r="A918" t="s">
        <v>9</v>
      </c>
      <c r="B918" t="s">
        <v>10</v>
      </c>
      <c r="C918">
        <v>65</v>
      </c>
      <c r="D918" t="s">
        <v>11</v>
      </c>
      <c r="E918" t="s">
        <v>1795</v>
      </c>
      <c r="F918" t="s">
        <v>1796</v>
      </c>
      <c r="G918">
        <v>17451</v>
      </c>
      <c r="I918" t="s">
        <v>14</v>
      </c>
    </row>
    <row r="919" spans="1:9">
      <c r="A919" t="s">
        <v>9</v>
      </c>
      <c r="B919" t="s">
        <v>10</v>
      </c>
      <c r="C919">
        <v>65</v>
      </c>
      <c r="D919" t="s">
        <v>11</v>
      </c>
      <c r="E919" t="s">
        <v>1797</v>
      </c>
      <c r="F919" t="s">
        <v>1798</v>
      </c>
      <c r="G919">
        <v>23278</v>
      </c>
      <c r="I919" t="s">
        <v>14</v>
      </c>
    </row>
    <row r="920" spans="1:9">
      <c r="A920" t="s">
        <v>9</v>
      </c>
      <c r="B920" t="s">
        <v>10</v>
      </c>
      <c r="C920">
        <v>65</v>
      </c>
      <c r="D920" t="s">
        <v>11</v>
      </c>
      <c r="E920" t="s">
        <v>1799</v>
      </c>
      <c r="F920" t="s">
        <v>1800</v>
      </c>
      <c r="G920">
        <v>78883</v>
      </c>
      <c r="I920" t="s">
        <v>14</v>
      </c>
    </row>
    <row r="921" spans="1:9">
      <c r="A921" t="s">
        <v>9</v>
      </c>
      <c r="B921" t="s">
        <v>10</v>
      </c>
      <c r="C921">
        <v>65</v>
      </c>
      <c r="D921" t="s">
        <v>11</v>
      </c>
      <c r="E921" t="s">
        <v>1801</v>
      </c>
      <c r="F921" t="s">
        <v>1802</v>
      </c>
      <c r="G921">
        <v>105985</v>
      </c>
      <c r="I921" t="s">
        <v>14</v>
      </c>
    </row>
    <row r="922" spans="1:9">
      <c r="A922" t="s">
        <v>9</v>
      </c>
      <c r="B922" t="s">
        <v>10</v>
      </c>
      <c r="C922">
        <v>65</v>
      </c>
      <c r="D922" t="s">
        <v>11</v>
      </c>
      <c r="E922" t="s">
        <v>1803</v>
      </c>
      <c r="F922" t="s">
        <v>1804</v>
      </c>
      <c r="G922">
        <v>104636</v>
      </c>
      <c r="I922" t="s">
        <v>14</v>
      </c>
    </row>
    <row r="923" spans="1:9">
      <c r="A923" t="s">
        <v>9</v>
      </c>
      <c r="B923" t="s">
        <v>10</v>
      </c>
      <c r="C923">
        <v>65</v>
      </c>
      <c r="D923" t="s">
        <v>11</v>
      </c>
      <c r="E923" t="s">
        <v>1805</v>
      </c>
      <c r="F923" t="s">
        <v>1806</v>
      </c>
      <c r="G923">
        <v>11516</v>
      </c>
      <c r="I923" t="s">
        <v>14</v>
      </c>
    </row>
    <row r="924" spans="1:9">
      <c r="A924" t="s">
        <v>9</v>
      </c>
      <c r="B924" t="s">
        <v>10</v>
      </c>
      <c r="C924">
        <v>65</v>
      </c>
      <c r="D924" t="s">
        <v>11</v>
      </c>
      <c r="E924" t="s">
        <v>1807</v>
      </c>
      <c r="F924" t="s">
        <v>1808</v>
      </c>
      <c r="G924">
        <v>3217</v>
      </c>
      <c r="I924" t="s">
        <v>14</v>
      </c>
    </row>
    <row r="925" spans="1:9">
      <c r="A925" t="s">
        <v>9</v>
      </c>
      <c r="B925" t="s">
        <v>10</v>
      </c>
      <c r="C925">
        <v>65</v>
      </c>
      <c r="D925" t="s">
        <v>11</v>
      </c>
      <c r="E925" t="s">
        <v>1809</v>
      </c>
      <c r="F925" t="s">
        <v>1810</v>
      </c>
      <c r="G925">
        <v>2977</v>
      </c>
      <c r="I925" t="s">
        <v>14</v>
      </c>
    </row>
    <row r="926" spans="1:9">
      <c r="A926" t="s">
        <v>9</v>
      </c>
      <c r="B926" t="s">
        <v>10</v>
      </c>
      <c r="C926">
        <v>65</v>
      </c>
      <c r="D926" t="s">
        <v>11</v>
      </c>
      <c r="E926" t="s">
        <v>1811</v>
      </c>
      <c r="F926" t="s">
        <v>1812</v>
      </c>
      <c r="G926">
        <v>1632</v>
      </c>
      <c r="I926" t="s">
        <v>14</v>
      </c>
    </row>
    <row r="927" spans="1:9">
      <c r="A927" t="s">
        <v>9</v>
      </c>
      <c r="B927" t="s">
        <v>10</v>
      </c>
      <c r="C927">
        <v>65</v>
      </c>
      <c r="D927" t="s">
        <v>11</v>
      </c>
      <c r="E927" t="s">
        <v>1813</v>
      </c>
      <c r="F927" t="s">
        <v>1814</v>
      </c>
      <c r="G927">
        <v>11685</v>
      </c>
      <c r="I927" t="s">
        <v>14</v>
      </c>
    </row>
    <row r="928" spans="1:9">
      <c r="A928" t="s">
        <v>9</v>
      </c>
      <c r="B928" t="s">
        <v>10</v>
      </c>
      <c r="C928">
        <v>65</v>
      </c>
      <c r="D928" t="s">
        <v>11</v>
      </c>
      <c r="E928" t="s">
        <v>1815</v>
      </c>
      <c r="F928" t="s">
        <v>1816</v>
      </c>
      <c r="G928">
        <v>96248</v>
      </c>
      <c r="I928" t="s">
        <v>14</v>
      </c>
    </row>
    <row r="929" spans="1:9">
      <c r="A929" t="s">
        <v>9</v>
      </c>
      <c r="B929" t="s">
        <v>10</v>
      </c>
      <c r="C929">
        <v>65</v>
      </c>
      <c r="D929" t="s">
        <v>11</v>
      </c>
      <c r="E929" t="s">
        <v>1817</v>
      </c>
      <c r="F929" t="s">
        <v>1818</v>
      </c>
      <c r="G929">
        <v>189911</v>
      </c>
      <c r="I929" t="s">
        <v>14</v>
      </c>
    </row>
    <row r="930" spans="1:9">
      <c r="A930" t="s">
        <v>9</v>
      </c>
      <c r="B930" t="s">
        <v>10</v>
      </c>
      <c r="C930">
        <v>65</v>
      </c>
      <c r="D930" t="s">
        <v>11</v>
      </c>
      <c r="E930" t="s">
        <v>1819</v>
      </c>
      <c r="F930" t="s">
        <v>1820</v>
      </c>
      <c r="G930">
        <v>195757</v>
      </c>
      <c r="I930" t="s">
        <v>14</v>
      </c>
    </row>
    <row r="931" spans="1:9">
      <c r="A931" t="s">
        <v>9</v>
      </c>
      <c r="B931" t="s">
        <v>10</v>
      </c>
      <c r="C931">
        <v>65</v>
      </c>
      <c r="D931" t="s">
        <v>11</v>
      </c>
      <c r="E931" t="s">
        <v>1821</v>
      </c>
      <c r="F931" t="s">
        <v>1822</v>
      </c>
      <c r="G931">
        <v>331027</v>
      </c>
      <c r="I931" t="s">
        <v>14</v>
      </c>
    </row>
    <row r="932" spans="1:9">
      <c r="A932" t="s">
        <v>9</v>
      </c>
      <c r="B932" t="s">
        <v>10</v>
      </c>
      <c r="C932">
        <v>65</v>
      </c>
      <c r="D932" t="s">
        <v>11</v>
      </c>
      <c r="E932" t="s">
        <v>1823</v>
      </c>
      <c r="F932" t="s">
        <v>1824</v>
      </c>
      <c r="G932">
        <v>353550</v>
      </c>
      <c r="I932" t="s">
        <v>14</v>
      </c>
    </row>
    <row r="933" spans="1:9">
      <c r="A933" t="s">
        <v>9</v>
      </c>
      <c r="B933" t="s">
        <v>10</v>
      </c>
      <c r="C933">
        <v>65</v>
      </c>
      <c r="D933" t="s">
        <v>11</v>
      </c>
      <c r="E933" t="s">
        <v>1825</v>
      </c>
      <c r="F933" t="s">
        <v>1826</v>
      </c>
      <c r="G933">
        <v>601599</v>
      </c>
      <c r="I933" t="s">
        <v>14</v>
      </c>
    </row>
    <row r="934" spans="1:9">
      <c r="A934" t="s">
        <v>9</v>
      </c>
      <c r="B934" t="s">
        <v>10</v>
      </c>
      <c r="C934">
        <v>65</v>
      </c>
      <c r="D934" t="s">
        <v>11</v>
      </c>
      <c r="E934" t="s">
        <v>1827</v>
      </c>
      <c r="F934" t="s">
        <v>1828</v>
      </c>
      <c r="G934">
        <v>663082</v>
      </c>
      <c r="I934" t="s">
        <v>14</v>
      </c>
    </row>
    <row r="935" spans="1:9">
      <c r="A935" t="s">
        <v>9</v>
      </c>
      <c r="B935" t="s">
        <v>10</v>
      </c>
      <c r="C935">
        <v>65</v>
      </c>
      <c r="D935" t="s">
        <v>11</v>
      </c>
      <c r="E935" t="s">
        <v>1829</v>
      </c>
      <c r="F935" t="s">
        <v>1830</v>
      </c>
      <c r="G935">
        <v>315794</v>
      </c>
      <c r="I935" t="s">
        <v>14</v>
      </c>
    </row>
    <row r="936" spans="1:9">
      <c r="A936" t="s">
        <v>9</v>
      </c>
      <c r="B936" t="s">
        <v>10</v>
      </c>
      <c r="C936">
        <v>65</v>
      </c>
      <c r="D936" t="s">
        <v>11</v>
      </c>
      <c r="E936" t="s">
        <v>1831</v>
      </c>
      <c r="F936" t="s">
        <v>1832</v>
      </c>
      <c r="G936">
        <v>60559</v>
      </c>
      <c r="I936" t="s">
        <v>14</v>
      </c>
    </row>
    <row r="937" spans="1:9">
      <c r="A937" t="s">
        <v>9</v>
      </c>
      <c r="B937" t="s">
        <v>10</v>
      </c>
      <c r="C937">
        <v>65</v>
      </c>
      <c r="D937" t="s">
        <v>11</v>
      </c>
      <c r="E937" t="s">
        <v>1833</v>
      </c>
      <c r="F937" t="s">
        <v>1834</v>
      </c>
      <c r="G937">
        <v>82155</v>
      </c>
      <c r="I937" t="s">
        <v>14</v>
      </c>
    </row>
    <row r="938" spans="1:9">
      <c r="A938" t="s">
        <v>9</v>
      </c>
      <c r="B938" t="s">
        <v>10</v>
      </c>
      <c r="C938">
        <v>65</v>
      </c>
      <c r="D938" t="s">
        <v>11</v>
      </c>
      <c r="E938" t="s">
        <v>1835</v>
      </c>
      <c r="F938" t="s">
        <v>1836</v>
      </c>
      <c r="G938">
        <v>12325</v>
      </c>
      <c r="I938" t="s">
        <v>14</v>
      </c>
    </row>
    <row r="939" spans="1:9">
      <c r="A939" t="s">
        <v>9</v>
      </c>
      <c r="B939" t="s">
        <v>10</v>
      </c>
      <c r="C939">
        <v>65</v>
      </c>
      <c r="D939" t="s">
        <v>11</v>
      </c>
      <c r="E939" t="s">
        <v>1837</v>
      </c>
      <c r="F939" t="s">
        <v>1838</v>
      </c>
      <c r="G939">
        <v>29496</v>
      </c>
      <c r="I939" t="s">
        <v>14</v>
      </c>
    </row>
    <row r="940" spans="1:9">
      <c r="A940" t="s">
        <v>9</v>
      </c>
      <c r="B940" t="s">
        <v>10</v>
      </c>
      <c r="C940">
        <v>65</v>
      </c>
      <c r="D940" t="s">
        <v>11</v>
      </c>
      <c r="E940" t="s">
        <v>1839</v>
      </c>
      <c r="F940" t="s">
        <v>1840</v>
      </c>
      <c r="G940">
        <v>33086</v>
      </c>
      <c r="I940" t="s">
        <v>14</v>
      </c>
    </row>
    <row r="941" spans="1:9">
      <c r="A941" t="s">
        <v>9</v>
      </c>
      <c r="B941" t="s">
        <v>10</v>
      </c>
      <c r="C941">
        <v>65</v>
      </c>
      <c r="D941" t="s">
        <v>11</v>
      </c>
      <c r="E941" t="s">
        <v>1841</v>
      </c>
      <c r="F941" t="s">
        <v>1842</v>
      </c>
      <c r="G941">
        <v>153677</v>
      </c>
      <c r="I941" t="s">
        <v>14</v>
      </c>
    </row>
    <row r="942" spans="1:9">
      <c r="A942" t="s">
        <v>9</v>
      </c>
      <c r="B942" t="s">
        <v>10</v>
      </c>
      <c r="C942">
        <v>65</v>
      </c>
      <c r="D942" t="s">
        <v>11</v>
      </c>
      <c r="E942" t="s">
        <v>1843</v>
      </c>
      <c r="F942" t="s">
        <v>1844</v>
      </c>
      <c r="G942">
        <v>151480</v>
      </c>
      <c r="I942" t="s">
        <v>14</v>
      </c>
    </row>
    <row r="943" spans="1:9">
      <c r="A943" t="s">
        <v>9</v>
      </c>
      <c r="B943" t="s">
        <v>10</v>
      </c>
      <c r="C943">
        <v>65</v>
      </c>
      <c r="D943" t="s">
        <v>11</v>
      </c>
      <c r="E943" t="s">
        <v>1845</v>
      </c>
      <c r="F943" t="s">
        <v>1846</v>
      </c>
      <c r="G943">
        <v>238925</v>
      </c>
      <c r="I943" t="s">
        <v>14</v>
      </c>
    </row>
    <row r="944" spans="1:9">
      <c r="A944" t="s">
        <v>9</v>
      </c>
      <c r="B944" t="s">
        <v>10</v>
      </c>
      <c r="C944">
        <v>65</v>
      </c>
      <c r="D944" t="s">
        <v>11</v>
      </c>
      <c r="E944" t="s">
        <v>1847</v>
      </c>
      <c r="F944" t="s">
        <v>1848</v>
      </c>
      <c r="G944">
        <v>260239</v>
      </c>
      <c r="I944" t="s">
        <v>14</v>
      </c>
    </row>
    <row r="945" spans="1:9">
      <c r="A945" t="s">
        <v>9</v>
      </c>
      <c r="B945" t="s">
        <v>10</v>
      </c>
      <c r="C945">
        <v>65</v>
      </c>
      <c r="D945" t="s">
        <v>11</v>
      </c>
      <c r="E945" t="s">
        <v>1849</v>
      </c>
      <c r="F945" t="s">
        <v>1850</v>
      </c>
      <c r="G945">
        <v>626235</v>
      </c>
      <c r="I945" t="s">
        <v>14</v>
      </c>
    </row>
    <row r="946" spans="1:9">
      <c r="A946" t="s">
        <v>9</v>
      </c>
      <c r="B946" t="s">
        <v>10</v>
      </c>
      <c r="C946">
        <v>65</v>
      </c>
      <c r="D946" t="s">
        <v>11</v>
      </c>
      <c r="E946" t="s">
        <v>1851</v>
      </c>
      <c r="F946" t="s">
        <v>1852</v>
      </c>
      <c r="G946">
        <v>314832</v>
      </c>
      <c r="I946" t="s">
        <v>14</v>
      </c>
    </row>
    <row r="947" spans="1:9">
      <c r="A947" t="s">
        <v>9</v>
      </c>
      <c r="B947" t="s">
        <v>10</v>
      </c>
      <c r="C947">
        <v>65</v>
      </c>
      <c r="D947" t="s">
        <v>11</v>
      </c>
      <c r="E947" t="s">
        <v>1853</v>
      </c>
      <c r="F947" t="s">
        <v>1854</v>
      </c>
      <c r="G947">
        <v>66625</v>
      </c>
      <c r="I947" t="s">
        <v>14</v>
      </c>
    </row>
    <row r="948" spans="1:9">
      <c r="A948" t="s">
        <v>9</v>
      </c>
      <c r="B948" t="s">
        <v>10</v>
      </c>
      <c r="C948">
        <v>65</v>
      </c>
      <c r="D948" t="s">
        <v>11</v>
      </c>
      <c r="E948" t="s">
        <v>1855</v>
      </c>
      <c r="F948" t="s">
        <v>1856</v>
      </c>
      <c r="G948">
        <v>17080</v>
      </c>
      <c r="I948" t="s">
        <v>14</v>
      </c>
    </row>
    <row r="949" spans="1:9">
      <c r="A949" t="s">
        <v>9</v>
      </c>
      <c r="B949" t="s">
        <v>10</v>
      </c>
      <c r="C949">
        <v>65</v>
      </c>
      <c r="D949" t="s">
        <v>11</v>
      </c>
      <c r="E949" t="s">
        <v>1857</v>
      </c>
      <c r="F949" t="s">
        <v>1858</v>
      </c>
      <c r="G949">
        <v>9644</v>
      </c>
      <c r="I949" t="s">
        <v>14</v>
      </c>
    </row>
    <row r="950" spans="1:9">
      <c r="A950" t="s">
        <v>9</v>
      </c>
      <c r="B950" t="s">
        <v>10</v>
      </c>
      <c r="C950">
        <v>65</v>
      </c>
      <c r="D950" t="s">
        <v>11</v>
      </c>
      <c r="E950" t="s">
        <v>1859</v>
      </c>
      <c r="F950" t="s">
        <v>1860</v>
      </c>
      <c r="G950">
        <v>29209</v>
      </c>
      <c r="I950" t="s">
        <v>14</v>
      </c>
    </row>
    <row r="951" spans="1:9">
      <c r="A951" t="s">
        <v>9</v>
      </c>
      <c r="B951" t="s">
        <v>10</v>
      </c>
      <c r="C951">
        <v>65</v>
      </c>
      <c r="D951" t="s">
        <v>11</v>
      </c>
      <c r="E951" t="s">
        <v>1861</v>
      </c>
      <c r="F951" t="s">
        <v>1862</v>
      </c>
      <c r="G951">
        <v>42254</v>
      </c>
      <c r="I951" t="s">
        <v>14</v>
      </c>
    </row>
    <row r="952" spans="1:9">
      <c r="A952" t="s">
        <v>9</v>
      </c>
      <c r="B952" t="s">
        <v>10</v>
      </c>
      <c r="C952">
        <v>65</v>
      </c>
      <c r="D952" t="s">
        <v>11</v>
      </c>
      <c r="E952" t="s">
        <v>1863</v>
      </c>
      <c r="F952" t="s">
        <v>1864</v>
      </c>
      <c r="G952">
        <v>49367</v>
      </c>
      <c r="I952" t="s">
        <v>14</v>
      </c>
    </row>
    <row r="953" spans="1:9">
      <c r="A953" t="s">
        <v>9</v>
      </c>
      <c r="B953" t="s">
        <v>10</v>
      </c>
      <c r="C953">
        <v>65</v>
      </c>
      <c r="D953" t="s">
        <v>11</v>
      </c>
      <c r="E953" t="s">
        <v>1865</v>
      </c>
      <c r="F953" t="s">
        <v>1866</v>
      </c>
      <c r="G953">
        <v>532139</v>
      </c>
      <c r="I953" t="s">
        <v>14</v>
      </c>
    </row>
    <row r="954" spans="1:9">
      <c r="A954" t="s">
        <v>9</v>
      </c>
      <c r="B954" t="s">
        <v>10</v>
      </c>
      <c r="C954">
        <v>65</v>
      </c>
      <c r="D954" t="s">
        <v>11</v>
      </c>
      <c r="E954" t="s">
        <v>1867</v>
      </c>
      <c r="F954" t="s">
        <v>1868</v>
      </c>
      <c r="G954">
        <v>394146</v>
      </c>
      <c r="I954" t="s">
        <v>14</v>
      </c>
    </row>
    <row r="955" spans="1:9">
      <c r="A955" t="s">
        <v>9</v>
      </c>
      <c r="B955" t="s">
        <v>10</v>
      </c>
      <c r="C955">
        <v>65</v>
      </c>
      <c r="D955" t="s">
        <v>11</v>
      </c>
      <c r="E955" t="s">
        <v>1869</v>
      </c>
      <c r="F955" t="s">
        <v>1870</v>
      </c>
      <c r="G955">
        <v>221193</v>
      </c>
      <c r="I955" t="s">
        <v>14</v>
      </c>
    </row>
    <row r="956" spans="1:9">
      <c r="A956" t="s">
        <v>9</v>
      </c>
      <c r="B956" t="s">
        <v>10</v>
      </c>
      <c r="C956">
        <v>65</v>
      </c>
      <c r="D956" t="s">
        <v>11</v>
      </c>
      <c r="E956" t="s">
        <v>1871</v>
      </c>
      <c r="F956" t="s">
        <v>1872</v>
      </c>
      <c r="G956">
        <v>312976</v>
      </c>
      <c r="I956" t="s">
        <v>14</v>
      </c>
    </row>
    <row r="957" spans="1:9">
      <c r="A957" t="s">
        <v>9</v>
      </c>
      <c r="B957" t="s">
        <v>10</v>
      </c>
      <c r="C957">
        <v>65</v>
      </c>
      <c r="D957" t="s">
        <v>11</v>
      </c>
      <c r="E957" t="s">
        <v>1873</v>
      </c>
      <c r="F957" t="s">
        <v>1874</v>
      </c>
      <c r="G957">
        <v>497417</v>
      </c>
      <c r="I957" t="s">
        <v>14</v>
      </c>
    </row>
    <row r="958" spans="1:9">
      <c r="A958" t="s">
        <v>9</v>
      </c>
      <c r="B958" t="s">
        <v>10</v>
      </c>
      <c r="C958">
        <v>65</v>
      </c>
      <c r="D958" t="s">
        <v>11</v>
      </c>
      <c r="E958" t="s">
        <v>1875</v>
      </c>
      <c r="F958" t="s">
        <v>1876</v>
      </c>
      <c r="G958">
        <v>538735</v>
      </c>
      <c r="I958" t="s">
        <v>14</v>
      </c>
    </row>
    <row r="959" spans="1:9">
      <c r="A959" t="s">
        <v>9</v>
      </c>
      <c r="B959" t="s">
        <v>10</v>
      </c>
      <c r="C959">
        <v>65</v>
      </c>
      <c r="D959" t="s">
        <v>11</v>
      </c>
      <c r="E959" t="s">
        <v>1877</v>
      </c>
      <c r="F959" t="s">
        <v>1878</v>
      </c>
      <c r="G959">
        <v>346614</v>
      </c>
      <c r="I959" t="s">
        <v>14</v>
      </c>
    </row>
    <row r="960" spans="1:9">
      <c r="A960" t="s">
        <v>9</v>
      </c>
      <c r="B960" t="s">
        <v>10</v>
      </c>
      <c r="C960">
        <v>65</v>
      </c>
      <c r="D960" t="s">
        <v>11</v>
      </c>
      <c r="E960" t="s">
        <v>1879</v>
      </c>
      <c r="F960" t="s">
        <v>1880</v>
      </c>
      <c r="G960">
        <v>58826</v>
      </c>
      <c r="I960" t="s">
        <v>14</v>
      </c>
    </row>
    <row r="961" spans="1:9">
      <c r="A961" t="s">
        <v>9</v>
      </c>
      <c r="B961" t="s">
        <v>10</v>
      </c>
      <c r="C961">
        <v>65</v>
      </c>
      <c r="D961" t="s">
        <v>11</v>
      </c>
      <c r="E961" t="s">
        <v>1881</v>
      </c>
      <c r="F961" t="s">
        <v>1882</v>
      </c>
      <c r="G961">
        <v>22257</v>
      </c>
      <c r="I961" t="s">
        <v>14</v>
      </c>
    </row>
    <row r="962" spans="1:9">
      <c r="A962" t="s">
        <v>9</v>
      </c>
      <c r="B962" t="s">
        <v>10</v>
      </c>
      <c r="C962">
        <v>65</v>
      </c>
      <c r="D962" t="s">
        <v>11</v>
      </c>
      <c r="E962" t="s">
        <v>1883</v>
      </c>
      <c r="F962" t="s">
        <v>1884</v>
      </c>
      <c r="G962">
        <v>11252</v>
      </c>
      <c r="I962" t="s">
        <v>14</v>
      </c>
    </row>
    <row r="963" spans="1:9">
      <c r="A963" t="s">
        <v>9</v>
      </c>
      <c r="B963" t="s">
        <v>10</v>
      </c>
      <c r="C963">
        <v>65</v>
      </c>
      <c r="D963" t="s">
        <v>11</v>
      </c>
      <c r="E963" t="s">
        <v>1885</v>
      </c>
      <c r="F963" t="s">
        <v>1886</v>
      </c>
      <c r="G963">
        <v>8336</v>
      </c>
      <c r="I963" t="s">
        <v>14</v>
      </c>
    </row>
    <row r="964" spans="1:9">
      <c r="A964" t="s">
        <v>9</v>
      </c>
      <c r="B964" t="s">
        <v>10</v>
      </c>
      <c r="C964">
        <v>65</v>
      </c>
      <c r="D964" t="s">
        <v>11</v>
      </c>
      <c r="E964" t="s">
        <v>1887</v>
      </c>
      <c r="F964" t="s">
        <v>1888</v>
      </c>
      <c r="G964">
        <v>25775</v>
      </c>
      <c r="I964" t="s">
        <v>14</v>
      </c>
    </row>
    <row r="965" spans="1:9">
      <c r="A965" t="s">
        <v>9</v>
      </c>
      <c r="B965" t="s">
        <v>10</v>
      </c>
      <c r="C965">
        <v>65</v>
      </c>
      <c r="D965" t="s">
        <v>11</v>
      </c>
      <c r="E965" t="s">
        <v>1889</v>
      </c>
      <c r="F965" t="s">
        <v>1890</v>
      </c>
      <c r="G965">
        <v>48161</v>
      </c>
      <c r="I965" t="s">
        <v>14</v>
      </c>
    </row>
    <row r="966" spans="1:9">
      <c r="A966" t="s">
        <v>9</v>
      </c>
      <c r="B966" t="s">
        <v>10</v>
      </c>
      <c r="C966">
        <v>65</v>
      </c>
      <c r="D966" t="s">
        <v>11</v>
      </c>
      <c r="E966" t="s">
        <v>1891</v>
      </c>
      <c r="F966" t="s">
        <v>1892</v>
      </c>
      <c r="G966">
        <v>63489</v>
      </c>
      <c r="I966" t="s">
        <v>14</v>
      </c>
    </row>
    <row r="967" spans="1:9">
      <c r="A967" t="s">
        <v>9</v>
      </c>
      <c r="B967" t="s">
        <v>10</v>
      </c>
      <c r="C967">
        <v>65</v>
      </c>
      <c r="D967" t="s">
        <v>11</v>
      </c>
      <c r="E967" t="s">
        <v>1893</v>
      </c>
      <c r="F967" t="s">
        <v>1894</v>
      </c>
      <c r="G967">
        <v>125911</v>
      </c>
      <c r="I967" t="s">
        <v>14</v>
      </c>
    </row>
    <row r="968" spans="1:9">
      <c r="A968" t="s">
        <v>9</v>
      </c>
      <c r="B968" t="s">
        <v>10</v>
      </c>
      <c r="C968">
        <v>65</v>
      </c>
      <c r="D968" t="s">
        <v>11</v>
      </c>
      <c r="E968" t="s">
        <v>1895</v>
      </c>
      <c r="F968" t="s">
        <v>1896</v>
      </c>
      <c r="G968">
        <v>243170</v>
      </c>
      <c r="I968" t="s">
        <v>14</v>
      </c>
    </row>
    <row r="969" spans="1:9">
      <c r="A969" t="s">
        <v>9</v>
      </c>
      <c r="B969" t="s">
        <v>10</v>
      </c>
      <c r="C969">
        <v>65</v>
      </c>
      <c r="D969" t="s">
        <v>11</v>
      </c>
      <c r="E969" t="s">
        <v>1897</v>
      </c>
      <c r="F969" t="s">
        <v>1898</v>
      </c>
      <c r="G969">
        <v>328483</v>
      </c>
      <c r="I969" t="s">
        <v>14</v>
      </c>
    </row>
    <row r="970" spans="1:9">
      <c r="A970" t="s">
        <v>9</v>
      </c>
      <c r="B970" t="s">
        <v>10</v>
      </c>
      <c r="C970">
        <v>65</v>
      </c>
      <c r="D970" t="s">
        <v>11</v>
      </c>
      <c r="E970" t="s">
        <v>1899</v>
      </c>
      <c r="F970" t="s">
        <v>1900</v>
      </c>
      <c r="G970">
        <v>151210</v>
      </c>
      <c r="I970" t="s">
        <v>14</v>
      </c>
    </row>
    <row r="971" spans="1:9">
      <c r="A971" t="s">
        <v>9</v>
      </c>
      <c r="B971" t="s">
        <v>10</v>
      </c>
      <c r="C971">
        <v>65</v>
      </c>
      <c r="D971" t="s">
        <v>11</v>
      </c>
      <c r="E971" t="s">
        <v>1901</v>
      </c>
      <c r="F971" t="s">
        <v>1902</v>
      </c>
      <c r="G971">
        <v>21814</v>
      </c>
      <c r="I971" t="s">
        <v>14</v>
      </c>
    </row>
    <row r="972" spans="1:9">
      <c r="A972" t="s">
        <v>9</v>
      </c>
      <c r="B972" t="s">
        <v>10</v>
      </c>
      <c r="C972">
        <v>65</v>
      </c>
      <c r="D972" t="s">
        <v>11</v>
      </c>
      <c r="E972" t="s">
        <v>1903</v>
      </c>
      <c r="F972" t="s">
        <v>1904</v>
      </c>
      <c r="G972">
        <v>19142</v>
      </c>
      <c r="I972" t="s">
        <v>14</v>
      </c>
    </row>
    <row r="973" spans="1:9">
      <c r="A973" t="s">
        <v>9</v>
      </c>
      <c r="B973" t="s">
        <v>10</v>
      </c>
      <c r="C973">
        <v>65</v>
      </c>
      <c r="D973" t="s">
        <v>11</v>
      </c>
      <c r="E973" t="s">
        <v>1905</v>
      </c>
      <c r="F973" t="s">
        <v>1906</v>
      </c>
      <c r="G973">
        <v>8773</v>
      </c>
      <c r="I973" t="s">
        <v>14</v>
      </c>
    </row>
    <row r="974" spans="1:9">
      <c r="A974" t="s">
        <v>9</v>
      </c>
      <c r="B974" t="s">
        <v>10</v>
      </c>
      <c r="C974">
        <v>65</v>
      </c>
      <c r="D974" t="s">
        <v>11</v>
      </c>
      <c r="E974" t="s">
        <v>1907</v>
      </c>
      <c r="F974" t="s">
        <v>1908</v>
      </c>
      <c r="G974">
        <v>29096</v>
      </c>
      <c r="I974" t="s">
        <v>14</v>
      </c>
    </row>
    <row r="975" spans="1:9">
      <c r="A975" t="s">
        <v>9</v>
      </c>
      <c r="B975" t="s">
        <v>10</v>
      </c>
      <c r="C975">
        <v>65</v>
      </c>
      <c r="D975" t="s">
        <v>11</v>
      </c>
      <c r="E975" t="s">
        <v>1909</v>
      </c>
      <c r="F975" t="s">
        <v>1910</v>
      </c>
      <c r="G975">
        <v>173742</v>
      </c>
      <c r="I975" t="s">
        <v>14</v>
      </c>
    </row>
    <row r="976" spans="1:9">
      <c r="A976" t="s">
        <v>9</v>
      </c>
      <c r="B976" t="s">
        <v>10</v>
      </c>
      <c r="C976">
        <v>65</v>
      </c>
      <c r="D976" t="s">
        <v>11</v>
      </c>
      <c r="E976" t="s">
        <v>1911</v>
      </c>
      <c r="F976" t="s">
        <v>1912</v>
      </c>
      <c r="G976">
        <v>220245</v>
      </c>
      <c r="I976" t="s">
        <v>14</v>
      </c>
    </row>
    <row r="977" spans="1:9">
      <c r="A977" t="s">
        <v>9</v>
      </c>
      <c r="B977" t="s">
        <v>10</v>
      </c>
      <c r="C977">
        <v>65</v>
      </c>
      <c r="D977" t="s">
        <v>11</v>
      </c>
      <c r="E977" t="s">
        <v>1913</v>
      </c>
      <c r="F977" t="s">
        <v>1914</v>
      </c>
      <c r="G977">
        <v>227881</v>
      </c>
      <c r="I977" t="s">
        <v>14</v>
      </c>
    </row>
    <row r="978" spans="1:9">
      <c r="A978" t="s">
        <v>9</v>
      </c>
      <c r="B978" t="s">
        <v>10</v>
      </c>
      <c r="C978">
        <v>65</v>
      </c>
      <c r="D978" t="s">
        <v>11</v>
      </c>
      <c r="E978" t="s">
        <v>1915</v>
      </c>
      <c r="F978" t="s">
        <v>1916</v>
      </c>
      <c r="G978">
        <v>388399</v>
      </c>
      <c r="I978" t="s">
        <v>14</v>
      </c>
    </row>
    <row r="979" spans="1:9">
      <c r="A979" t="s">
        <v>9</v>
      </c>
      <c r="B979" t="s">
        <v>10</v>
      </c>
      <c r="C979">
        <v>65</v>
      </c>
      <c r="D979" t="s">
        <v>11</v>
      </c>
      <c r="E979" t="s">
        <v>1917</v>
      </c>
      <c r="F979" t="s">
        <v>1918</v>
      </c>
      <c r="G979">
        <v>339749</v>
      </c>
      <c r="I979" t="s">
        <v>14</v>
      </c>
    </row>
    <row r="980" spans="1:9">
      <c r="A980" t="s">
        <v>9</v>
      </c>
      <c r="B980" t="s">
        <v>10</v>
      </c>
      <c r="C980">
        <v>65</v>
      </c>
      <c r="D980" t="s">
        <v>11</v>
      </c>
      <c r="E980" t="s">
        <v>1919</v>
      </c>
      <c r="F980" t="s">
        <v>1920</v>
      </c>
      <c r="G980">
        <v>660325</v>
      </c>
      <c r="I980" t="s">
        <v>14</v>
      </c>
    </row>
    <row r="981" spans="1:9">
      <c r="A981" t="s">
        <v>9</v>
      </c>
      <c r="B981" t="s">
        <v>10</v>
      </c>
      <c r="C981">
        <v>65</v>
      </c>
      <c r="D981" t="s">
        <v>11</v>
      </c>
      <c r="E981" t="s">
        <v>1921</v>
      </c>
      <c r="F981" t="s">
        <v>1922</v>
      </c>
      <c r="G981">
        <v>693110</v>
      </c>
      <c r="I981" t="s">
        <v>14</v>
      </c>
    </row>
    <row r="982" spans="1:9">
      <c r="A982" t="s">
        <v>9</v>
      </c>
      <c r="B982" t="s">
        <v>10</v>
      </c>
      <c r="C982">
        <v>65</v>
      </c>
      <c r="D982" t="s">
        <v>11</v>
      </c>
      <c r="E982" t="s">
        <v>1923</v>
      </c>
      <c r="F982" t="s">
        <v>1924</v>
      </c>
      <c r="G982">
        <v>566805</v>
      </c>
      <c r="I982" t="s">
        <v>14</v>
      </c>
    </row>
    <row r="983" spans="1:9">
      <c r="A983" t="s">
        <v>9</v>
      </c>
      <c r="B983" t="s">
        <v>10</v>
      </c>
      <c r="C983">
        <v>65</v>
      </c>
      <c r="D983" t="s">
        <v>11</v>
      </c>
      <c r="E983" t="s">
        <v>1925</v>
      </c>
      <c r="F983" t="s">
        <v>1926</v>
      </c>
      <c r="G983">
        <v>322582</v>
      </c>
      <c r="I983" t="s">
        <v>14</v>
      </c>
    </row>
    <row r="984" spans="1:9">
      <c r="A984" t="s">
        <v>9</v>
      </c>
      <c r="B984" t="s">
        <v>10</v>
      </c>
      <c r="C984">
        <v>65</v>
      </c>
      <c r="D984" t="s">
        <v>11</v>
      </c>
      <c r="E984" t="s">
        <v>1927</v>
      </c>
      <c r="F984" t="s">
        <v>1928</v>
      </c>
      <c r="G984">
        <v>79983</v>
      </c>
      <c r="I984" t="s">
        <v>14</v>
      </c>
    </row>
    <row r="985" spans="1:9">
      <c r="A985" t="s">
        <v>9</v>
      </c>
      <c r="B985" t="s">
        <v>10</v>
      </c>
      <c r="C985">
        <v>65</v>
      </c>
      <c r="D985" t="s">
        <v>11</v>
      </c>
      <c r="E985" t="s">
        <v>1929</v>
      </c>
      <c r="F985" t="s">
        <v>1930</v>
      </c>
      <c r="G985">
        <v>103860</v>
      </c>
      <c r="I985" t="s">
        <v>14</v>
      </c>
    </row>
    <row r="986" spans="1:9">
      <c r="A986" t="s">
        <v>9</v>
      </c>
      <c r="B986" t="s">
        <v>10</v>
      </c>
      <c r="C986">
        <v>65</v>
      </c>
      <c r="D986" t="s">
        <v>11</v>
      </c>
      <c r="E986" t="s">
        <v>1931</v>
      </c>
      <c r="F986" t="s">
        <v>1932</v>
      </c>
      <c r="G986">
        <v>152862</v>
      </c>
      <c r="I986" t="s">
        <v>14</v>
      </c>
    </row>
    <row r="987" spans="1:9">
      <c r="A987" t="s">
        <v>9</v>
      </c>
      <c r="B987" t="s">
        <v>10</v>
      </c>
      <c r="C987">
        <v>65</v>
      </c>
      <c r="D987" t="s">
        <v>11</v>
      </c>
      <c r="E987" t="s">
        <v>1933</v>
      </c>
      <c r="F987" t="s">
        <v>1934</v>
      </c>
      <c r="G987">
        <v>176231</v>
      </c>
      <c r="I987" t="s">
        <v>14</v>
      </c>
    </row>
    <row r="988" spans="1:9">
      <c r="A988" t="s">
        <v>9</v>
      </c>
      <c r="B988" t="s">
        <v>10</v>
      </c>
      <c r="C988">
        <v>65</v>
      </c>
      <c r="D988" t="s">
        <v>11</v>
      </c>
      <c r="E988" t="s">
        <v>1935</v>
      </c>
      <c r="F988" t="s">
        <v>1936</v>
      </c>
      <c r="G988">
        <v>244606</v>
      </c>
      <c r="I988" t="s">
        <v>14</v>
      </c>
    </row>
    <row r="989" spans="1:9">
      <c r="A989" t="s">
        <v>9</v>
      </c>
      <c r="B989" t="s">
        <v>10</v>
      </c>
      <c r="C989">
        <v>65</v>
      </c>
      <c r="D989" t="s">
        <v>11</v>
      </c>
      <c r="E989" t="s">
        <v>1937</v>
      </c>
      <c r="F989" t="s">
        <v>1938</v>
      </c>
      <c r="G989">
        <v>261243</v>
      </c>
      <c r="I989" t="s">
        <v>14</v>
      </c>
    </row>
    <row r="990" spans="1:9">
      <c r="A990" t="s">
        <v>9</v>
      </c>
      <c r="B990" t="s">
        <v>10</v>
      </c>
      <c r="C990">
        <v>65</v>
      </c>
      <c r="D990" t="s">
        <v>11</v>
      </c>
      <c r="E990" t="s">
        <v>1939</v>
      </c>
      <c r="F990" t="s">
        <v>1940</v>
      </c>
      <c r="G990">
        <v>327834</v>
      </c>
      <c r="I990" t="s">
        <v>14</v>
      </c>
    </row>
    <row r="991" spans="1:9">
      <c r="A991" t="s">
        <v>9</v>
      </c>
      <c r="B991" t="s">
        <v>10</v>
      </c>
      <c r="C991">
        <v>65</v>
      </c>
      <c r="D991" t="s">
        <v>11</v>
      </c>
      <c r="E991" t="s">
        <v>1941</v>
      </c>
      <c r="F991" t="s">
        <v>1942</v>
      </c>
      <c r="G991">
        <v>560146</v>
      </c>
      <c r="I991" t="s">
        <v>14</v>
      </c>
    </row>
    <row r="992" spans="1:9">
      <c r="A992" t="s">
        <v>9</v>
      </c>
      <c r="B992" t="s">
        <v>10</v>
      </c>
      <c r="C992">
        <v>65</v>
      </c>
      <c r="D992" t="s">
        <v>11</v>
      </c>
      <c r="E992" t="s">
        <v>1943</v>
      </c>
      <c r="F992" t="s">
        <v>1944</v>
      </c>
      <c r="G992">
        <v>303525</v>
      </c>
      <c r="I992" t="s">
        <v>14</v>
      </c>
    </row>
    <row r="993" spans="1:9">
      <c r="A993" t="s">
        <v>9</v>
      </c>
      <c r="B993" t="s">
        <v>10</v>
      </c>
      <c r="C993">
        <v>65</v>
      </c>
      <c r="D993" t="s">
        <v>11</v>
      </c>
      <c r="E993" t="s">
        <v>1945</v>
      </c>
      <c r="F993" t="s">
        <v>1946</v>
      </c>
      <c r="G993">
        <v>695933</v>
      </c>
      <c r="I993" t="s">
        <v>14</v>
      </c>
    </row>
    <row r="994" spans="1:9">
      <c r="A994" t="s">
        <v>9</v>
      </c>
      <c r="B994" t="s">
        <v>10</v>
      </c>
      <c r="C994">
        <v>65</v>
      </c>
      <c r="D994" t="s">
        <v>11</v>
      </c>
      <c r="E994" t="s">
        <v>1947</v>
      </c>
      <c r="F994" t="s">
        <v>1948</v>
      </c>
      <c r="G994">
        <v>1016194</v>
      </c>
      <c r="I994" t="s">
        <v>14</v>
      </c>
    </row>
    <row r="995" spans="1:9">
      <c r="A995" t="s">
        <v>9</v>
      </c>
      <c r="B995" t="s">
        <v>10</v>
      </c>
      <c r="C995">
        <v>65</v>
      </c>
      <c r="D995" t="s">
        <v>11</v>
      </c>
      <c r="E995" t="s">
        <v>1949</v>
      </c>
      <c r="F995" t="s">
        <v>1950</v>
      </c>
      <c r="G995">
        <v>629625</v>
      </c>
      <c r="I995" t="s">
        <v>14</v>
      </c>
    </row>
    <row r="996" spans="1:9">
      <c r="A996" t="s">
        <v>9</v>
      </c>
      <c r="B996" t="s">
        <v>10</v>
      </c>
      <c r="C996">
        <v>65</v>
      </c>
      <c r="D996" t="s">
        <v>11</v>
      </c>
      <c r="E996" t="s">
        <v>1951</v>
      </c>
      <c r="F996" t="s">
        <v>1952</v>
      </c>
      <c r="G996">
        <v>205170</v>
      </c>
      <c r="I996" t="s">
        <v>14</v>
      </c>
    </row>
    <row r="997" spans="1:9">
      <c r="A997" t="s">
        <v>9</v>
      </c>
      <c r="B997" t="s">
        <v>10</v>
      </c>
      <c r="C997">
        <v>65</v>
      </c>
      <c r="D997" t="s">
        <v>11</v>
      </c>
      <c r="E997" t="s">
        <v>1953</v>
      </c>
      <c r="F997" t="s">
        <v>1954</v>
      </c>
      <c r="G997">
        <v>58030</v>
      </c>
      <c r="I997" t="s">
        <v>14</v>
      </c>
    </row>
    <row r="998" spans="1:9">
      <c r="A998" t="s">
        <v>9</v>
      </c>
      <c r="B998" t="s">
        <v>10</v>
      </c>
      <c r="C998">
        <v>65</v>
      </c>
      <c r="D998" t="s">
        <v>11</v>
      </c>
      <c r="E998" t="s">
        <v>1955</v>
      </c>
      <c r="F998" t="s">
        <v>1956</v>
      </c>
      <c r="G998">
        <v>43833</v>
      </c>
      <c r="I998" t="s">
        <v>14</v>
      </c>
    </row>
    <row r="999" spans="1:9">
      <c r="A999" t="s">
        <v>9</v>
      </c>
      <c r="B999" t="s">
        <v>10</v>
      </c>
      <c r="C999">
        <v>65</v>
      </c>
      <c r="D999" t="s">
        <v>11</v>
      </c>
      <c r="E999" t="s">
        <v>1957</v>
      </c>
      <c r="F999" t="s">
        <v>1958</v>
      </c>
      <c r="G999">
        <v>310276</v>
      </c>
      <c r="I999" t="s">
        <v>14</v>
      </c>
    </row>
    <row r="1000" spans="1:9">
      <c r="A1000" t="s">
        <v>9</v>
      </c>
      <c r="B1000" t="s">
        <v>10</v>
      </c>
      <c r="C1000">
        <v>65</v>
      </c>
      <c r="D1000" t="s">
        <v>11</v>
      </c>
      <c r="E1000" t="s">
        <v>1959</v>
      </c>
      <c r="F1000" t="s">
        <v>1960</v>
      </c>
      <c r="G1000">
        <v>402190</v>
      </c>
      <c r="I1000" t="s">
        <v>14</v>
      </c>
    </row>
    <row r="1001" spans="1:9">
      <c r="A1001" t="s">
        <v>9</v>
      </c>
      <c r="B1001" t="s">
        <v>10</v>
      </c>
      <c r="C1001">
        <v>65</v>
      </c>
      <c r="D1001" t="s">
        <v>11</v>
      </c>
      <c r="E1001" t="s">
        <v>1961</v>
      </c>
      <c r="F1001" t="s">
        <v>1962</v>
      </c>
      <c r="G1001">
        <v>175424</v>
      </c>
      <c r="I1001" t="s">
        <v>14</v>
      </c>
    </row>
    <row r="1002" spans="1:9">
      <c r="A1002" t="s">
        <v>9</v>
      </c>
      <c r="B1002" t="s">
        <v>10</v>
      </c>
      <c r="C1002">
        <v>65</v>
      </c>
      <c r="D1002" t="s">
        <v>11</v>
      </c>
      <c r="E1002" t="s">
        <v>1963</v>
      </c>
      <c r="F1002" t="s">
        <v>1964</v>
      </c>
      <c r="G1002">
        <v>150674</v>
      </c>
      <c r="I1002" t="s">
        <v>14</v>
      </c>
    </row>
    <row r="1003" spans="1:9">
      <c r="A1003" t="s">
        <v>9</v>
      </c>
      <c r="B1003" t="s">
        <v>10</v>
      </c>
      <c r="C1003">
        <v>65</v>
      </c>
      <c r="D1003" t="s">
        <v>11</v>
      </c>
      <c r="E1003" t="s">
        <v>1965</v>
      </c>
      <c r="F1003" t="s">
        <v>1966</v>
      </c>
      <c r="G1003">
        <v>199589</v>
      </c>
      <c r="I1003" t="s">
        <v>14</v>
      </c>
    </row>
    <row r="1004" spans="1:9">
      <c r="A1004" t="s">
        <v>9</v>
      </c>
      <c r="B1004" t="s">
        <v>10</v>
      </c>
      <c r="C1004">
        <v>65</v>
      </c>
      <c r="D1004" t="s">
        <v>11</v>
      </c>
      <c r="E1004" t="s">
        <v>1967</v>
      </c>
      <c r="F1004" t="s">
        <v>1968</v>
      </c>
      <c r="G1004">
        <v>202815</v>
      </c>
      <c r="I1004" t="s">
        <v>14</v>
      </c>
    </row>
    <row r="1005" spans="1:9">
      <c r="A1005" t="s">
        <v>9</v>
      </c>
      <c r="B1005" t="s">
        <v>10</v>
      </c>
      <c r="C1005">
        <v>65</v>
      </c>
      <c r="D1005" t="s">
        <v>11</v>
      </c>
      <c r="E1005" t="s">
        <v>1969</v>
      </c>
      <c r="F1005" t="s">
        <v>1970</v>
      </c>
      <c r="G1005">
        <v>535744</v>
      </c>
      <c r="I1005" t="s">
        <v>14</v>
      </c>
    </row>
    <row r="1006" spans="1:9">
      <c r="A1006" t="s">
        <v>9</v>
      </c>
      <c r="B1006" t="s">
        <v>10</v>
      </c>
      <c r="C1006">
        <v>65</v>
      </c>
      <c r="D1006" t="s">
        <v>11</v>
      </c>
      <c r="E1006" t="s">
        <v>1971</v>
      </c>
      <c r="F1006" t="s">
        <v>1972</v>
      </c>
      <c r="G1006">
        <v>329550</v>
      </c>
      <c r="I1006" t="s">
        <v>14</v>
      </c>
    </row>
    <row r="1007" spans="1:9">
      <c r="A1007" t="s">
        <v>9</v>
      </c>
      <c r="B1007" t="s">
        <v>10</v>
      </c>
      <c r="C1007">
        <v>65</v>
      </c>
      <c r="D1007" t="s">
        <v>11</v>
      </c>
      <c r="E1007" t="s">
        <v>1973</v>
      </c>
      <c r="F1007" t="s">
        <v>1974</v>
      </c>
      <c r="G1007">
        <v>92967</v>
      </c>
      <c r="I1007" t="s">
        <v>14</v>
      </c>
    </row>
    <row r="1008" spans="1:9">
      <c r="A1008" t="s">
        <v>9</v>
      </c>
      <c r="B1008" t="s">
        <v>10</v>
      </c>
      <c r="C1008">
        <v>65</v>
      </c>
      <c r="D1008" t="s">
        <v>11</v>
      </c>
      <c r="E1008" t="s">
        <v>1975</v>
      </c>
      <c r="F1008" t="s">
        <v>1976</v>
      </c>
      <c r="G1008">
        <v>21172</v>
      </c>
      <c r="I1008" t="s">
        <v>14</v>
      </c>
    </row>
    <row r="1009" spans="1:9">
      <c r="A1009" t="s">
        <v>9</v>
      </c>
      <c r="B1009" t="s">
        <v>10</v>
      </c>
      <c r="C1009">
        <v>65</v>
      </c>
      <c r="D1009" t="s">
        <v>11</v>
      </c>
      <c r="E1009" t="s">
        <v>1977</v>
      </c>
      <c r="F1009" t="s">
        <v>1978</v>
      </c>
      <c r="G1009">
        <v>6534</v>
      </c>
      <c r="I1009" t="s">
        <v>14</v>
      </c>
    </row>
    <row r="1010" spans="1:9">
      <c r="A1010" t="s">
        <v>9</v>
      </c>
      <c r="B1010" t="s">
        <v>10</v>
      </c>
      <c r="C1010">
        <v>65</v>
      </c>
      <c r="D1010" t="s">
        <v>11</v>
      </c>
      <c r="E1010" t="s">
        <v>1979</v>
      </c>
      <c r="F1010" t="s">
        <v>1980</v>
      </c>
      <c r="G1010">
        <v>26106</v>
      </c>
      <c r="I1010" t="s">
        <v>14</v>
      </c>
    </row>
    <row r="1011" spans="1:9">
      <c r="A1011" t="s">
        <v>9</v>
      </c>
      <c r="B1011" t="s">
        <v>10</v>
      </c>
      <c r="C1011">
        <v>65</v>
      </c>
      <c r="D1011" t="s">
        <v>11</v>
      </c>
      <c r="E1011" t="s">
        <v>1981</v>
      </c>
      <c r="F1011" t="s">
        <v>1982</v>
      </c>
      <c r="G1011">
        <v>85226</v>
      </c>
      <c r="I1011" t="s">
        <v>14</v>
      </c>
    </row>
    <row r="1012" spans="1:9">
      <c r="A1012" t="s">
        <v>9</v>
      </c>
      <c r="B1012" t="s">
        <v>10</v>
      </c>
      <c r="C1012">
        <v>65</v>
      </c>
      <c r="D1012" t="s">
        <v>11</v>
      </c>
      <c r="E1012" t="s">
        <v>1983</v>
      </c>
      <c r="F1012" t="s">
        <v>1984</v>
      </c>
      <c r="G1012">
        <v>48236</v>
      </c>
      <c r="I1012" t="s">
        <v>14</v>
      </c>
    </row>
    <row r="1013" spans="1:9">
      <c r="A1013" t="s">
        <v>9</v>
      </c>
      <c r="B1013" t="s">
        <v>10</v>
      </c>
      <c r="C1013">
        <v>65</v>
      </c>
      <c r="D1013" t="s">
        <v>11</v>
      </c>
      <c r="E1013" t="s">
        <v>1985</v>
      </c>
      <c r="F1013" t="s">
        <v>1986</v>
      </c>
      <c r="G1013">
        <v>40637</v>
      </c>
      <c r="I1013" t="s">
        <v>14</v>
      </c>
    </row>
    <row r="1014" spans="1:9">
      <c r="A1014" t="s">
        <v>9</v>
      </c>
      <c r="B1014" t="s">
        <v>10</v>
      </c>
      <c r="C1014">
        <v>65</v>
      </c>
      <c r="D1014" t="s">
        <v>11</v>
      </c>
      <c r="E1014" t="s">
        <v>1987</v>
      </c>
      <c r="F1014" t="s">
        <v>1988</v>
      </c>
      <c r="G1014">
        <v>68682</v>
      </c>
      <c r="I1014" t="s">
        <v>14</v>
      </c>
    </row>
    <row r="1015" spans="1:9">
      <c r="A1015" t="s">
        <v>9</v>
      </c>
      <c r="B1015" t="s">
        <v>10</v>
      </c>
      <c r="C1015">
        <v>65</v>
      </c>
      <c r="D1015" t="s">
        <v>11</v>
      </c>
      <c r="E1015" t="s">
        <v>1989</v>
      </c>
      <c r="F1015" t="s">
        <v>1990</v>
      </c>
      <c r="G1015">
        <v>125917</v>
      </c>
      <c r="I1015" t="s">
        <v>14</v>
      </c>
    </row>
    <row r="1016" spans="1:9">
      <c r="A1016" t="s">
        <v>9</v>
      </c>
      <c r="B1016" t="s">
        <v>10</v>
      </c>
      <c r="C1016">
        <v>65</v>
      </c>
      <c r="D1016" t="s">
        <v>11</v>
      </c>
      <c r="E1016" t="s">
        <v>1991</v>
      </c>
      <c r="F1016" t="s">
        <v>1992</v>
      </c>
      <c r="G1016">
        <v>301904</v>
      </c>
      <c r="I1016" t="s">
        <v>14</v>
      </c>
    </row>
    <row r="1017" spans="1:9">
      <c r="A1017" t="s">
        <v>9</v>
      </c>
      <c r="B1017" t="s">
        <v>10</v>
      </c>
      <c r="C1017">
        <v>65</v>
      </c>
      <c r="D1017" t="s">
        <v>11</v>
      </c>
      <c r="E1017" t="s">
        <v>1993</v>
      </c>
      <c r="F1017" t="s">
        <v>1994</v>
      </c>
      <c r="G1017">
        <v>341349</v>
      </c>
      <c r="I1017" t="s">
        <v>14</v>
      </c>
    </row>
    <row r="1018" spans="1:9">
      <c r="A1018" t="s">
        <v>9</v>
      </c>
      <c r="B1018" t="s">
        <v>10</v>
      </c>
      <c r="C1018">
        <v>65</v>
      </c>
      <c r="D1018" t="s">
        <v>11</v>
      </c>
      <c r="E1018" t="s">
        <v>1995</v>
      </c>
      <c r="F1018" t="s">
        <v>1996</v>
      </c>
      <c r="G1018">
        <v>134904</v>
      </c>
      <c r="I1018" t="s">
        <v>14</v>
      </c>
    </row>
    <row r="1019" spans="1:9">
      <c r="A1019" t="s">
        <v>9</v>
      </c>
      <c r="B1019" t="s">
        <v>10</v>
      </c>
      <c r="C1019">
        <v>65</v>
      </c>
      <c r="D1019" t="s">
        <v>11</v>
      </c>
      <c r="E1019" t="s">
        <v>1997</v>
      </c>
      <c r="F1019" t="s">
        <v>1998</v>
      </c>
      <c r="G1019">
        <v>22584</v>
      </c>
      <c r="I1019" t="s">
        <v>14</v>
      </c>
    </row>
    <row r="1020" spans="1:9">
      <c r="A1020" t="s">
        <v>9</v>
      </c>
      <c r="B1020" t="s">
        <v>10</v>
      </c>
      <c r="C1020">
        <v>65</v>
      </c>
      <c r="D1020" t="s">
        <v>11</v>
      </c>
      <c r="E1020" t="s">
        <v>1999</v>
      </c>
      <c r="F1020" t="s">
        <v>2000</v>
      </c>
      <c r="G1020">
        <v>15241</v>
      </c>
      <c r="I1020" t="s">
        <v>14</v>
      </c>
    </row>
    <row r="1021" spans="1:9">
      <c r="A1021" t="s">
        <v>9</v>
      </c>
      <c r="B1021" t="s">
        <v>10</v>
      </c>
      <c r="C1021">
        <v>65</v>
      </c>
      <c r="D1021" t="s">
        <v>11</v>
      </c>
      <c r="E1021" t="s">
        <v>2001</v>
      </c>
      <c r="F1021" t="s">
        <v>2002</v>
      </c>
      <c r="G1021">
        <v>17827</v>
      </c>
      <c r="I1021" t="s">
        <v>14</v>
      </c>
    </row>
    <row r="1022" spans="1:9">
      <c r="A1022" t="s">
        <v>9</v>
      </c>
      <c r="B1022" t="s">
        <v>10</v>
      </c>
      <c r="C1022">
        <v>65</v>
      </c>
      <c r="D1022" t="s">
        <v>11</v>
      </c>
      <c r="E1022" t="s">
        <v>2003</v>
      </c>
      <c r="F1022" t="s">
        <v>2004</v>
      </c>
      <c r="G1022">
        <v>30726</v>
      </c>
      <c r="I1022" t="s">
        <v>14</v>
      </c>
    </row>
    <row r="1023" spans="1:9">
      <c r="A1023" t="s">
        <v>9</v>
      </c>
      <c r="B1023" t="s">
        <v>10</v>
      </c>
      <c r="C1023">
        <v>65</v>
      </c>
      <c r="D1023" t="s">
        <v>11</v>
      </c>
      <c r="E1023" t="s">
        <v>2005</v>
      </c>
      <c r="F1023" t="s">
        <v>2006</v>
      </c>
      <c r="G1023">
        <v>49202</v>
      </c>
      <c r="I1023" t="s">
        <v>14</v>
      </c>
    </row>
    <row r="1024" spans="1:9">
      <c r="A1024" t="s">
        <v>9</v>
      </c>
      <c r="B1024" t="s">
        <v>10</v>
      </c>
      <c r="C1024">
        <v>65</v>
      </c>
      <c r="D1024" t="s">
        <v>11</v>
      </c>
      <c r="E1024" t="s">
        <v>2007</v>
      </c>
      <c r="F1024" t="s">
        <v>2008</v>
      </c>
      <c r="G1024">
        <v>94118</v>
      </c>
      <c r="I1024" t="s">
        <v>14</v>
      </c>
    </row>
    <row r="1025" spans="1:9">
      <c r="A1025" t="s">
        <v>9</v>
      </c>
      <c r="B1025" t="s">
        <v>10</v>
      </c>
      <c r="C1025">
        <v>65</v>
      </c>
      <c r="D1025" t="s">
        <v>11</v>
      </c>
      <c r="E1025" t="s">
        <v>2009</v>
      </c>
      <c r="F1025" t="s">
        <v>2010</v>
      </c>
      <c r="G1025">
        <v>129323</v>
      </c>
      <c r="I1025" t="s">
        <v>14</v>
      </c>
    </row>
    <row r="1026" spans="1:9">
      <c r="A1026" t="s">
        <v>9</v>
      </c>
      <c r="B1026" t="s">
        <v>10</v>
      </c>
      <c r="C1026">
        <v>65</v>
      </c>
      <c r="D1026" t="s">
        <v>11</v>
      </c>
      <c r="E1026" t="s">
        <v>2011</v>
      </c>
      <c r="F1026" t="s">
        <v>2012</v>
      </c>
      <c r="G1026">
        <v>616493</v>
      </c>
      <c r="I1026" t="s">
        <v>14</v>
      </c>
    </row>
    <row r="1027" spans="1:9">
      <c r="A1027" t="s">
        <v>9</v>
      </c>
      <c r="B1027" t="s">
        <v>10</v>
      </c>
      <c r="C1027">
        <v>65</v>
      </c>
      <c r="D1027" t="s">
        <v>11</v>
      </c>
      <c r="E1027" t="s">
        <v>2013</v>
      </c>
      <c r="F1027" t="s">
        <v>2014</v>
      </c>
      <c r="G1027">
        <v>492540</v>
      </c>
      <c r="I1027" t="s">
        <v>14</v>
      </c>
    </row>
    <row r="1028" spans="1:9">
      <c r="A1028" t="s">
        <v>9</v>
      </c>
      <c r="B1028" t="s">
        <v>10</v>
      </c>
      <c r="C1028">
        <v>65</v>
      </c>
      <c r="D1028" t="s">
        <v>11</v>
      </c>
      <c r="E1028" t="s">
        <v>2015</v>
      </c>
      <c r="F1028" t="s">
        <v>2016</v>
      </c>
      <c r="G1028">
        <v>319713</v>
      </c>
      <c r="I1028" t="s">
        <v>14</v>
      </c>
    </row>
    <row r="1029" spans="1:9">
      <c r="A1029" t="s">
        <v>9</v>
      </c>
      <c r="B1029" t="s">
        <v>10</v>
      </c>
      <c r="C1029">
        <v>65</v>
      </c>
      <c r="D1029" t="s">
        <v>11</v>
      </c>
      <c r="E1029" t="s">
        <v>2017</v>
      </c>
      <c r="F1029" t="s">
        <v>2018</v>
      </c>
      <c r="G1029">
        <v>540315</v>
      </c>
      <c r="I1029" t="s">
        <v>14</v>
      </c>
    </row>
    <row r="1030" spans="1:9">
      <c r="A1030" t="s">
        <v>9</v>
      </c>
      <c r="B1030" t="s">
        <v>10</v>
      </c>
      <c r="C1030">
        <v>65</v>
      </c>
      <c r="D1030" t="s">
        <v>11</v>
      </c>
      <c r="E1030" t="s">
        <v>2019</v>
      </c>
      <c r="F1030" t="s">
        <v>2020</v>
      </c>
      <c r="G1030">
        <v>506647</v>
      </c>
      <c r="I1030" t="s">
        <v>14</v>
      </c>
    </row>
    <row r="1031" spans="1:9">
      <c r="A1031" t="s">
        <v>9</v>
      </c>
      <c r="B1031" t="s">
        <v>10</v>
      </c>
      <c r="C1031">
        <v>65</v>
      </c>
      <c r="D1031" t="s">
        <v>11</v>
      </c>
      <c r="E1031" t="s">
        <v>2021</v>
      </c>
      <c r="F1031" t="s">
        <v>2022</v>
      </c>
      <c r="G1031">
        <v>144170</v>
      </c>
      <c r="I1031" t="s">
        <v>14</v>
      </c>
    </row>
    <row r="1032" spans="1:9">
      <c r="A1032" t="s">
        <v>9</v>
      </c>
      <c r="B1032" t="s">
        <v>10</v>
      </c>
      <c r="C1032">
        <v>65</v>
      </c>
      <c r="D1032" t="s">
        <v>11</v>
      </c>
      <c r="E1032" t="s">
        <v>2023</v>
      </c>
      <c r="F1032" t="s">
        <v>2024</v>
      </c>
      <c r="G1032">
        <v>30006</v>
      </c>
      <c r="I1032" t="s">
        <v>14</v>
      </c>
    </row>
    <row r="1033" spans="1:9">
      <c r="A1033" t="s">
        <v>9</v>
      </c>
      <c r="B1033" t="s">
        <v>10</v>
      </c>
      <c r="C1033">
        <v>65</v>
      </c>
      <c r="D1033" t="s">
        <v>11</v>
      </c>
      <c r="E1033" t="s">
        <v>2025</v>
      </c>
      <c r="F1033" t="s">
        <v>2026</v>
      </c>
      <c r="G1033">
        <v>17643</v>
      </c>
      <c r="I1033" t="s">
        <v>14</v>
      </c>
    </row>
    <row r="1034" spans="1:9">
      <c r="A1034" t="s">
        <v>9</v>
      </c>
      <c r="B1034" t="s">
        <v>10</v>
      </c>
      <c r="C1034">
        <v>65</v>
      </c>
      <c r="D1034" t="s">
        <v>11</v>
      </c>
      <c r="E1034" t="s">
        <v>2027</v>
      </c>
      <c r="F1034" t="s">
        <v>2028</v>
      </c>
      <c r="G1034">
        <v>18326</v>
      </c>
      <c r="I1034" t="s">
        <v>14</v>
      </c>
    </row>
    <row r="1035" spans="1:9">
      <c r="A1035" t="s">
        <v>9</v>
      </c>
      <c r="B1035" t="s">
        <v>10</v>
      </c>
      <c r="C1035">
        <v>65</v>
      </c>
      <c r="D1035" t="s">
        <v>11</v>
      </c>
      <c r="E1035" t="s">
        <v>2029</v>
      </c>
      <c r="F1035" t="s">
        <v>2030</v>
      </c>
      <c r="G1035">
        <v>8274</v>
      </c>
      <c r="I1035" t="s">
        <v>14</v>
      </c>
    </row>
    <row r="1036" spans="1:9">
      <c r="A1036" t="s">
        <v>9</v>
      </c>
      <c r="B1036" t="s">
        <v>10</v>
      </c>
      <c r="C1036">
        <v>65</v>
      </c>
      <c r="D1036" t="s">
        <v>11</v>
      </c>
      <c r="E1036" t="s">
        <v>2031</v>
      </c>
      <c r="F1036" t="s">
        <v>2032</v>
      </c>
      <c r="G1036">
        <v>13130</v>
      </c>
      <c r="I1036" t="s">
        <v>14</v>
      </c>
    </row>
    <row r="1037" spans="1:9">
      <c r="A1037" t="s">
        <v>9</v>
      </c>
      <c r="B1037" t="s">
        <v>10</v>
      </c>
      <c r="C1037">
        <v>65</v>
      </c>
      <c r="D1037" t="s">
        <v>11</v>
      </c>
      <c r="E1037" t="s">
        <v>2033</v>
      </c>
      <c r="F1037" t="s">
        <v>2034</v>
      </c>
      <c r="G1037">
        <v>6352</v>
      </c>
      <c r="I1037" t="s">
        <v>14</v>
      </c>
    </row>
    <row r="1038" spans="1:9">
      <c r="A1038" t="s">
        <v>9</v>
      </c>
      <c r="B1038" t="s">
        <v>10</v>
      </c>
      <c r="C1038">
        <v>65</v>
      </c>
      <c r="D1038" t="s">
        <v>11</v>
      </c>
      <c r="E1038" t="s">
        <v>2035</v>
      </c>
      <c r="F1038" t="s">
        <v>2036</v>
      </c>
      <c r="G1038">
        <v>37076</v>
      </c>
      <c r="I1038" t="s">
        <v>14</v>
      </c>
    </row>
    <row r="1039" spans="1:9">
      <c r="A1039" t="s">
        <v>9</v>
      </c>
      <c r="B1039" t="s">
        <v>10</v>
      </c>
      <c r="C1039">
        <v>65</v>
      </c>
      <c r="D1039" t="s">
        <v>11</v>
      </c>
      <c r="E1039" t="s">
        <v>2037</v>
      </c>
      <c r="F1039" t="s">
        <v>2038</v>
      </c>
      <c r="G1039">
        <v>88982</v>
      </c>
      <c r="I1039" t="s">
        <v>14</v>
      </c>
    </row>
    <row r="1040" spans="1:9">
      <c r="A1040" t="s">
        <v>9</v>
      </c>
      <c r="B1040" t="s">
        <v>10</v>
      </c>
      <c r="C1040">
        <v>65</v>
      </c>
      <c r="D1040" t="s">
        <v>11</v>
      </c>
      <c r="E1040" t="s">
        <v>2039</v>
      </c>
      <c r="F1040" t="s">
        <v>2040</v>
      </c>
      <c r="G1040">
        <v>194340</v>
      </c>
      <c r="I1040" t="s">
        <v>14</v>
      </c>
    </row>
    <row r="1041" spans="1:9">
      <c r="A1041" t="s">
        <v>9</v>
      </c>
      <c r="B1041" t="s">
        <v>10</v>
      </c>
      <c r="C1041">
        <v>65</v>
      </c>
      <c r="D1041" t="s">
        <v>11</v>
      </c>
      <c r="E1041" t="s">
        <v>2041</v>
      </c>
      <c r="F1041" t="s">
        <v>2042</v>
      </c>
      <c r="G1041">
        <v>203457</v>
      </c>
      <c r="I1041" t="s">
        <v>14</v>
      </c>
    </row>
    <row r="1042" spans="1:9">
      <c r="A1042" t="s">
        <v>9</v>
      </c>
      <c r="B1042" t="s">
        <v>10</v>
      </c>
      <c r="C1042">
        <v>65</v>
      </c>
      <c r="D1042" t="s">
        <v>11</v>
      </c>
      <c r="E1042" t="s">
        <v>2043</v>
      </c>
      <c r="F1042" t="s">
        <v>2044</v>
      </c>
      <c r="G1042">
        <v>64654</v>
      </c>
      <c r="I1042" t="s">
        <v>14</v>
      </c>
    </row>
    <row r="1043" spans="1:9">
      <c r="A1043" t="s">
        <v>9</v>
      </c>
      <c r="B1043" t="s">
        <v>10</v>
      </c>
      <c r="C1043">
        <v>65</v>
      </c>
      <c r="D1043" t="s">
        <v>11</v>
      </c>
      <c r="E1043" t="s">
        <v>2045</v>
      </c>
      <c r="F1043" t="s">
        <v>2046</v>
      </c>
      <c r="G1043">
        <v>10193</v>
      </c>
      <c r="I1043" t="s">
        <v>14</v>
      </c>
    </row>
    <row r="1044" spans="1:9">
      <c r="A1044" t="s">
        <v>9</v>
      </c>
      <c r="B1044" t="s">
        <v>10</v>
      </c>
      <c r="C1044">
        <v>65</v>
      </c>
      <c r="D1044" t="s">
        <v>11</v>
      </c>
      <c r="E1044" t="s">
        <v>2047</v>
      </c>
      <c r="F1044" t="s">
        <v>2048</v>
      </c>
      <c r="G1044">
        <v>8082</v>
      </c>
      <c r="I1044" t="s">
        <v>14</v>
      </c>
    </row>
    <row r="1045" spans="1:9">
      <c r="A1045" t="s">
        <v>9</v>
      </c>
      <c r="B1045" t="s">
        <v>10</v>
      </c>
      <c r="C1045">
        <v>65</v>
      </c>
      <c r="D1045" t="s">
        <v>11</v>
      </c>
      <c r="E1045" t="s">
        <v>2049</v>
      </c>
      <c r="F1045" t="s">
        <v>2050</v>
      </c>
      <c r="G1045">
        <v>2725</v>
      </c>
      <c r="I1045" t="s">
        <v>14</v>
      </c>
    </row>
    <row r="1046" spans="1:9">
      <c r="A1046" t="s">
        <v>9</v>
      </c>
      <c r="B1046" t="s">
        <v>10</v>
      </c>
      <c r="C1046">
        <v>65</v>
      </c>
      <c r="D1046" t="s">
        <v>11</v>
      </c>
      <c r="E1046" t="s">
        <v>2051</v>
      </c>
      <c r="F1046" t="s">
        <v>2052</v>
      </c>
      <c r="G1046">
        <v>10666</v>
      </c>
      <c r="I1046" t="s">
        <v>14</v>
      </c>
    </row>
    <row r="1047" spans="1:9">
      <c r="A1047" t="s">
        <v>9</v>
      </c>
      <c r="B1047" t="s">
        <v>10</v>
      </c>
      <c r="C1047">
        <v>65</v>
      </c>
      <c r="D1047" t="s">
        <v>11</v>
      </c>
      <c r="E1047" t="s">
        <v>2053</v>
      </c>
      <c r="F1047" t="s">
        <v>2054</v>
      </c>
      <c r="G1047">
        <v>26144</v>
      </c>
      <c r="I1047" t="s">
        <v>14</v>
      </c>
    </row>
    <row r="1048" spans="1:9">
      <c r="A1048" t="s">
        <v>9</v>
      </c>
      <c r="B1048" t="s">
        <v>10</v>
      </c>
      <c r="C1048">
        <v>65</v>
      </c>
      <c r="D1048" t="s">
        <v>11</v>
      </c>
      <c r="E1048" t="s">
        <v>2055</v>
      </c>
      <c r="F1048" t="s">
        <v>2056</v>
      </c>
      <c r="G1048">
        <v>50314</v>
      </c>
      <c r="I1048" t="s">
        <v>14</v>
      </c>
    </row>
    <row r="1049" spans="1:9">
      <c r="A1049" t="s">
        <v>9</v>
      </c>
      <c r="B1049" t="s">
        <v>10</v>
      </c>
      <c r="C1049">
        <v>65</v>
      </c>
      <c r="D1049" t="s">
        <v>11</v>
      </c>
      <c r="E1049" t="s">
        <v>2057</v>
      </c>
      <c r="F1049" t="s">
        <v>2058</v>
      </c>
      <c r="G1049">
        <v>70422</v>
      </c>
      <c r="I1049" t="s">
        <v>14</v>
      </c>
    </row>
    <row r="1050" spans="1:9">
      <c r="A1050" t="s">
        <v>9</v>
      </c>
      <c r="B1050" t="s">
        <v>10</v>
      </c>
      <c r="C1050">
        <v>65</v>
      </c>
      <c r="D1050" t="s">
        <v>11</v>
      </c>
      <c r="E1050" t="s">
        <v>2059</v>
      </c>
      <c r="F1050" t="s">
        <v>2060</v>
      </c>
      <c r="G1050">
        <v>57053</v>
      </c>
      <c r="I1050" t="s">
        <v>14</v>
      </c>
    </row>
    <row r="1051" spans="1:9">
      <c r="A1051" t="s">
        <v>9</v>
      </c>
      <c r="B1051" t="s">
        <v>10</v>
      </c>
      <c r="C1051">
        <v>65</v>
      </c>
      <c r="D1051" t="s">
        <v>11</v>
      </c>
      <c r="E1051" t="s">
        <v>2061</v>
      </c>
      <c r="F1051" t="s">
        <v>2062</v>
      </c>
      <c r="G1051">
        <v>104925</v>
      </c>
      <c r="I1051" t="s">
        <v>14</v>
      </c>
    </row>
    <row r="1052" spans="1:9">
      <c r="A1052" t="s">
        <v>9</v>
      </c>
      <c r="B1052" t="s">
        <v>10</v>
      </c>
      <c r="C1052">
        <v>65</v>
      </c>
      <c r="D1052" t="s">
        <v>11</v>
      </c>
      <c r="E1052" t="s">
        <v>2063</v>
      </c>
      <c r="F1052" t="s">
        <v>2064</v>
      </c>
      <c r="G1052">
        <v>159417</v>
      </c>
      <c r="I1052" t="s">
        <v>14</v>
      </c>
    </row>
    <row r="1053" spans="1:9">
      <c r="A1053" t="s">
        <v>9</v>
      </c>
      <c r="B1053" t="s">
        <v>10</v>
      </c>
      <c r="C1053">
        <v>65</v>
      </c>
      <c r="D1053" t="s">
        <v>11</v>
      </c>
      <c r="E1053" t="s">
        <v>2065</v>
      </c>
      <c r="F1053" t="s">
        <v>2066</v>
      </c>
      <c r="G1053">
        <v>212874</v>
      </c>
      <c r="I1053" t="s">
        <v>14</v>
      </c>
    </row>
    <row r="1054" spans="1:9">
      <c r="A1054" t="s">
        <v>9</v>
      </c>
      <c r="B1054" t="s">
        <v>10</v>
      </c>
      <c r="C1054">
        <v>65</v>
      </c>
      <c r="D1054" t="s">
        <v>11</v>
      </c>
      <c r="E1054" t="s">
        <v>2067</v>
      </c>
      <c r="F1054" t="s">
        <v>2068</v>
      </c>
      <c r="G1054">
        <v>98221</v>
      </c>
      <c r="I1054" t="s">
        <v>14</v>
      </c>
    </row>
    <row r="1055" spans="1:9">
      <c r="A1055" t="s">
        <v>9</v>
      </c>
      <c r="B1055" t="s">
        <v>10</v>
      </c>
      <c r="C1055">
        <v>65</v>
      </c>
      <c r="D1055" t="s">
        <v>11</v>
      </c>
      <c r="E1055" t="s">
        <v>2069</v>
      </c>
      <c r="F1055" t="s">
        <v>2070</v>
      </c>
      <c r="G1055">
        <v>23503</v>
      </c>
      <c r="I1055" t="s">
        <v>14</v>
      </c>
    </row>
    <row r="1056" spans="1:9">
      <c r="A1056" t="s">
        <v>9</v>
      </c>
      <c r="B1056" t="s">
        <v>10</v>
      </c>
      <c r="C1056">
        <v>65</v>
      </c>
      <c r="D1056" t="s">
        <v>11</v>
      </c>
      <c r="E1056" t="s">
        <v>2071</v>
      </c>
      <c r="F1056" t="s">
        <v>2072</v>
      </c>
      <c r="G1056">
        <v>6396</v>
      </c>
      <c r="I1056" t="s">
        <v>14</v>
      </c>
    </row>
    <row r="1057" spans="1:9">
      <c r="A1057" t="s">
        <v>9</v>
      </c>
      <c r="B1057" t="s">
        <v>10</v>
      </c>
      <c r="C1057">
        <v>65</v>
      </c>
      <c r="D1057" t="s">
        <v>11</v>
      </c>
      <c r="E1057" t="s">
        <v>2073</v>
      </c>
      <c r="F1057" t="s">
        <v>2074</v>
      </c>
      <c r="G1057">
        <v>915</v>
      </c>
      <c r="I1057" t="s">
        <v>14</v>
      </c>
    </row>
    <row r="1058" spans="1:9">
      <c r="A1058" t="s">
        <v>9</v>
      </c>
      <c r="B1058" t="s">
        <v>10</v>
      </c>
      <c r="C1058">
        <v>65</v>
      </c>
      <c r="D1058" t="s">
        <v>11</v>
      </c>
      <c r="E1058" t="s">
        <v>2075</v>
      </c>
      <c r="F1058" t="s">
        <v>2076</v>
      </c>
      <c r="G1058">
        <v>3554</v>
      </c>
      <c r="I1058" t="s">
        <v>14</v>
      </c>
    </row>
    <row r="1059" spans="1:9">
      <c r="A1059" t="s">
        <v>9</v>
      </c>
      <c r="B1059" t="s">
        <v>10</v>
      </c>
      <c r="C1059">
        <v>65</v>
      </c>
      <c r="D1059" t="s">
        <v>11</v>
      </c>
      <c r="E1059" t="s">
        <v>2077</v>
      </c>
      <c r="F1059" t="s">
        <v>2078</v>
      </c>
      <c r="G1059">
        <v>21228</v>
      </c>
      <c r="I1059" t="s">
        <v>14</v>
      </c>
    </row>
    <row r="1060" spans="1:9">
      <c r="A1060" t="s">
        <v>9</v>
      </c>
      <c r="B1060" t="s">
        <v>10</v>
      </c>
      <c r="C1060">
        <v>65</v>
      </c>
      <c r="D1060" t="s">
        <v>11</v>
      </c>
      <c r="E1060" t="s">
        <v>2079</v>
      </c>
      <c r="F1060" t="s">
        <v>2080</v>
      </c>
      <c r="G1060">
        <v>26609</v>
      </c>
      <c r="I1060" t="s">
        <v>14</v>
      </c>
    </row>
    <row r="1061" spans="1:9">
      <c r="A1061" t="s">
        <v>9</v>
      </c>
      <c r="B1061" t="s">
        <v>10</v>
      </c>
      <c r="C1061">
        <v>65</v>
      </c>
      <c r="D1061" t="s">
        <v>11</v>
      </c>
      <c r="E1061" t="s">
        <v>2081</v>
      </c>
      <c r="F1061" t="s">
        <v>2082</v>
      </c>
      <c r="G1061">
        <v>36544</v>
      </c>
      <c r="I1061" t="s">
        <v>14</v>
      </c>
    </row>
    <row r="1062" spans="1:9">
      <c r="A1062" t="s">
        <v>9</v>
      </c>
      <c r="B1062" t="s">
        <v>10</v>
      </c>
      <c r="C1062">
        <v>65</v>
      </c>
      <c r="D1062" t="s">
        <v>11</v>
      </c>
      <c r="E1062" t="s">
        <v>2083</v>
      </c>
      <c r="F1062" t="s">
        <v>2084</v>
      </c>
      <c r="G1062">
        <v>61500</v>
      </c>
      <c r="I1062" t="s">
        <v>14</v>
      </c>
    </row>
    <row r="1063" spans="1:9">
      <c r="A1063" t="s">
        <v>9</v>
      </c>
      <c r="B1063" t="s">
        <v>10</v>
      </c>
      <c r="C1063">
        <v>65</v>
      </c>
      <c r="D1063" t="s">
        <v>11</v>
      </c>
      <c r="E1063" t="s">
        <v>2085</v>
      </c>
      <c r="F1063" t="s">
        <v>2086</v>
      </c>
      <c r="G1063">
        <v>285046</v>
      </c>
      <c r="I1063" t="s">
        <v>14</v>
      </c>
    </row>
    <row r="1064" spans="1:9">
      <c r="A1064" t="s">
        <v>9</v>
      </c>
      <c r="B1064" t="s">
        <v>10</v>
      </c>
      <c r="C1064">
        <v>65</v>
      </c>
      <c r="D1064" t="s">
        <v>11</v>
      </c>
      <c r="E1064" t="s">
        <v>2087</v>
      </c>
      <c r="F1064" t="s">
        <v>2088</v>
      </c>
      <c r="G1064">
        <v>309418</v>
      </c>
      <c r="I1064" t="s">
        <v>14</v>
      </c>
    </row>
    <row r="1065" spans="1:9">
      <c r="A1065" t="s">
        <v>9</v>
      </c>
      <c r="B1065" t="s">
        <v>10</v>
      </c>
      <c r="C1065">
        <v>65</v>
      </c>
      <c r="D1065" t="s">
        <v>11</v>
      </c>
      <c r="E1065" t="s">
        <v>2089</v>
      </c>
      <c r="F1065" t="s">
        <v>2090</v>
      </c>
      <c r="G1065">
        <v>320768</v>
      </c>
      <c r="I1065" t="s">
        <v>14</v>
      </c>
    </row>
    <row r="1066" spans="1:9">
      <c r="A1066" t="s">
        <v>9</v>
      </c>
      <c r="B1066" t="s">
        <v>10</v>
      </c>
      <c r="C1066">
        <v>65</v>
      </c>
      <c r="D1066" t="s">
        <v>11</v>
      </c>
      <c r="E1066" t="s">
        <v>2091</v>
      </c>
      <c r="F1066" t="s">
        <v>2092</v>
      </c>
      <c r="G1066">
        <v>207394</v>
      </c>
      <c r="I1066" t="s">
        <v>14</v>
      </c>
    </row>
    <row r="1067" spans="1:9">
      <c r="A1067" t="s">
        <v>9</v>
      </c>
      <c r="B1067" t="s">
        <v>10</v>
      </c>
      <c r="C1067">
        <v>65</v>
      </c>
      <c r="D1067" t="s">
        <v>11</v>
      </c>
      <c r="E1067" t="s">
        <v>2093</v>
      </c>
      <c r="F1067" t="s">
        <v>2094</v>
      </c>
      <c r="G1067">
        <v>28061</v>
      </c>
      <c r="I1067" t="s">
        <v>14</v>
      </c>
    </row>
    <row r="1068" spans="1:9">
      <c r="A1068" t="s">
        <v>9</v>
      </c>
      <c r="B1068" t="s">
        <v>10</v>
      </c>
      <c r="C1068">
        <v>65</v>
      </c>
      <c r="D1068" t="s">
        <v>11</v>
      </c>
      <c r="E1068" t="s">
        <v>2095</v>
      </c>
      <c r="F1068" t="s">
        <v>2096</v>
      </c>
      <c r="G1068">
        <v>2106</v>
      </c>
      <c r="I1068" t="s">
        <v>14</v>
      </c>
    </row>
    <row r="1069" spans="1:9">
      <c r="A1069" t="s">
        <v>9</v>
      </c>
      <c r="B1069" t="s">
        <v>10</v>
      </c>
      <c r="C1069">
        <v>65</v>
      </c>
      <c r="D1069" t="s">
        <v>11</v>
      </c>
      <c r="E1069" t="s">
        <v>2097</v>
      </c>
      <c r="F1069" t="s">
        <v>2098</v>
      </c>
      <c r="G1069">
        <v>9679</v>
      </c>
      <c r="I1069" t="s">
        <v>14</v>
      </c>
    </row>
    <row r="1070" spans="1:9">
      <c r="A1070" t="s">
        <v>9</v>
      </c>
      <c r="B1070" t="s">
        <v>10</v>
      </c>
      <c r="C1070">
        <v>65</v>
      </c>
      <c r="D1070" t="s">
        <v>11</v>
      </c>
      <c r="E1070" t="s">
        <v>2099</v>
      </c>
      <c r="F1070" t="s">
        <v>2100</v>
      </c>
      <c r="G1070">
        <v>48807</v>
      </c>
      <c r="I1070" t="s">
        <v>14</v>
      </c>
    </row>
    <row r="1071" spans="1:9">
      <c r="A1071" t="s">
        <v>9</v>
      </c>
      <c r="B1071" t="s">
        <v>10</v>
      </c>
      <c r="C1071">
        <v>65</v>
      </c>
      <c r="D1071" t="s">
        <v>11</v>
      </c>
      <c r="E1071" t="s">
        <v>2101</v>
      </c>
      <c r="F1071" t="s">
        <v>2102</v>
      </c>
      <c r="G1071">
        <v>24878</v>
      </c>
      <c r="I1071" t="s">
        <v>14</v>
      </c>
    </row>
    <row r="1072" spans="1:9">
      <c r="A1072" t="s">
        <v>9</v>
      </c>
      <c r="B1072" t="s">
        <v>10</v>
      </c>
      <c r="C1072">
        <v>65</v>
      </c>
      <c r="D1072" t="s">
        <v>11</v>
      </c>
      <c r="E1072" t="s">
        <v>2103</v>
      </c>
      <c r="F1072" t="s">
        <v>2104</v>
      </c>
      <c r="G1072">
        <v>21644</v>
      </c>
      <c r="I1072" t="s">
        <v>14</v>
      </c>
    </row>
    <row r="1073" spans="1:9">
      <c r="A1073" t="s">
        <v>9</v>
      </c>
      <c r="B1073" t="s">
        <v>10</v>
      </c>
      <c r="C1073">
        <v>65</v>
      </c>
      <c r="D1073" t="s">
        <v>11</v>
      </c>
      <c r="E1073" t="s">
        <v>2105</v>
      </c>
      <c r="F1073" t="s">
        <v>2106</v>
      </c>
      <c r="G1073">
        <v>38235</v>
      </c>
      <c r="I1073" t="s">
        <v>14</v>
      </c>
    </row>
    <row r="1074" spans="1:9">
      <c r="A1074" t="s">
        <v>9</v>
      </c>
      <c r="B1074" t="s">
        <v>10</v>
      </c>
      <c r="C1074">
        <v>65</v>
      </c>
      <c r="D1074" t="s">
        <v>11</v>
      </c>
      <c r="E1074" t="s">
        <v>2107</v>
      </c>
      <c r="F1074" t="s">
        <v>2108</v>
      </c>
      <c r="G1074">
        <v>52727</v>
      </c>
      <c r="I1074" t="s">
        <v>14</v>
      </c>
    </row>
    <row r="1075" spans="1:9">
      <c r="A1075" t="s">
        <v>9</v>
      </c>
      <c r="B1075" t="s">
        <v>10</v>
      </c>
      <c r="C1075">
        <v>65</v>
      </c>
      <c r="D1075" t="s">
        <v>11</v>
      </c>
      <c r="E1075" t="s">
        <v>2109</v>
      </c>
      <c r="F1075" t="s">
        <v>2110</v>
      </c>
      <c r="G1075">
        <v>129680</v>
      </c>
      <c r="I1075" t="s">
        <v>14</v>
      </c>
    </row>
    <row r="1076" spans="1:9">
      <c r="A1076" t="s">
        <v>9</v>
      </c>
      <c r="B1076" t="s">
        <v>10</v>
      </c>
      <c r="C1076">
        <v>65</v>
      </c>
      <c r="D1076" t="s">
        <v>11</v>
      </c>
      <c r="E1076" t="s">
        <v>2111</v>
      </c>
      <c r="F1076" t="s">
        <v>2112</v>
      </c>
      <c r="G1076">
        <v>220291</v>
      </c>
      <c r="I1076" t="s">
        <v>14</v>
      </c>
    </row>
    <row r="1077" spans="1:9">
      <c r="A1077" t="s">
        <v>9</v>
      </c>
      <c r="B1077" t="s">
        <v>10</v>
      </c>
      <c r="C1077">
        <v>65</v>
      </c>
      <c r="D1077" t="s">
        <v>11</v>
      </c>
      <c r="E1077" t="s">
        <v>2113</v>
      </c>
      <c r="F1077" t="s">
        <v>2114</v>
      </c>
      <c r="G1077">
        <v>181713</v>
      </c>
      <c r="I1077" t="s">
        <v>14</v>
      </c>
    </row>
    <row r="1078" spans="1:9">
      <c r="A1078" t="s">
        <v>9</v>
      </c>
      <c r="B1078" t="s">
        <v>10</v>
      </c>
      <c r="C1078">
        <v>65</v>
      </c>
      <c r="D1078" t="s">
        <v>11</v>
      </c>
      <c r="E1078" t="s">
        <v>2115</v>
      </c>
      <c r="F1078" t="s">
        <v>2116</v>
      </c>
      <c r="G1078">
        <v>100254</v>
      </c>
      <c r="I1078" t="s">
        <v>14</v>
      </c>
    </row>
    <row r="1079" spans="1:9">
      <c r="A1079" t="s">
        <v>9</v>
      </c>
      <c r="B1079" t="s">
        <v>10</v>
      </c>
      <c r="C1079">
        <v>65</v>
      </c>
      <c r="D1079" t="s">
        <v>11</v>
      </c>
      <c r="E1079" t="s">
        <v>2117</v>
      </c>
      <c r="F1079" t="s">
        <v>2118</v>
      </c>
      <c r="G1079">
        <v>20080</v>
      </c>
      <c r="I1079" t="s">
        <v>14</v>
      </c>
    </row>
    <row r="1080" spans="1:9">
      <c r="A1080" t="s">
        <v>9</v>
      </c>
      <c r="B1080" t="s">
        <v>10</v>
      </c>
      <c r="C1080">
        <v>65</v>
      </c>
      <c r="D1080" t="s">
        <v>11</v>
      </c>
      <c r="E1080" t="s">
        <v>2119</v>
      </c>
      <c r="F1080" t="s">
        <v>2120</v>
      </c>
      <c r="G1080">
        <v>3600</v>
      </c>
      <c r="I1080" t="s">
        <v>14</v>
      </c>
    </row>
    <row r="1081" spans="1:9">
      <c r="A1081" t="s">
        <v>9</v>
      </c>
      <c r="B1081" t="s">
        <v>10</v>
      </c>
      <c r="C1081">
        <v>65</v>
      </c>
      <c r="D1081" t="s">
        <v>11</v>
      </c>
      <c r="E1081" t="s">
        <v>2121</v>
      </c>
      <c r="F1081" t="s">
        <v>2122</v>
      </c>
      <c r="G1081">
        <v>682</v>
      </c>
      <c r="I1081" t="s">
        <v>14</v>
      </c>
    </row>
    <row r="1082" spans="1:9">
      <c r="A1082" t="s">
        <v>9</v>
      </c>
      <c r="B1082" t="s">
        <v>10</v>
      </c>
      <c r="C1082">
        <v>65</v>
      </c>
      <c r="D1082" t="s">
        <v>11</v>
      </c>
      <c r="E1082" t="s">
        <v>2123</v>
      </c>
      <c r="F1082" t="s">
        <v>2124</v>
      </c>
      <c r="G1082">
        <v>1249</v>
      </c>
      <c r="I1082" t="s">
        <v>14</v>
      </c>
    </row>
    <row r="1083" spans="1:9">
      <c r="A1083" t="s">
        <v>9</v>
      </c>
      <c r="B1083" t="s">
        <v>10</v>
      </c>
      <c r="C1083">
        <v>65</v>
      </c>
      <c r="D1083" t="s">
        <v>11</v>
      </c>
      <c r="E1083" t="s">
        <v>2125</v>
      </c>
      <c r="F1083" t="s">
        <v>2126</v>
      </c>
      <c r="G1083">
        <v>8477</v>
      </c>
      <c r="I1083" t="s">
        <v>14</v>
      </c>
    </row>
    <row r="1084" spans="1:9">
      <c r="A1084" t="s">
        <v>9</v>
      </c>
      <c r="B1084" t="s">
        <v>10</v>
      </c>
      <c r="C1084">
        <v>65</v>
      </c>
      <c r="D1084" t="s">
        <v>11</v>
      </c>
      <c r="E1084" t="s">
        <v>2127</v>
      </c>
      <c r="F1084" t="s">
        <v>2128</v>
      </c>
      <c r="G1084">
        <v>4504</v>
      </c>
      <c r="I1084" t="s">
        <v>14</v>
      </c>
    </row>
    <row r="1085" spans="1:9">
      <c r="A1085" t="s">
        <v>9</v>
      </c>
      <c r="B1085" t="s">
        <v>10</v>
      </c>
      <c r="C1085">
        <v>65</v>
      </c>
      <c r="D1085" t="s">
        <v>11</v>
      </c>
      <c r="E1085" t="s">
        <v>2129</v>
      </c>
      <c r="F1085" t="s">
        <v>2130</v>
      </c>
      <c r="G1085">
        <v>4977</v>
      </c>
      <c r="I1085" t="s">
        <v>14</v>
      </c>
    </row>
    <row r="1086" spans="1:9">
      <c r="A1086" t="s">
        <v>9</v>
      </c>
      <c r="B1086" t="s">
        <v>10</v>
      </c>
      <c r="C1086">
        <v>65</v>
      </c>
      <c r="D1086" t="s">
        <v>11</v>
      </c>
      <c r="E1086" t="s">
        <v>2131</v>
      </c>
      <c r="F1086" t="s">
        <v>2132</v>
      </c>
      <c r="G1086">
        <v>8149</v>
      </c>
      <c r="I1086" t="s">
        <v>14</v>
      </c>
    </row>
    <row r="1087" spans="1:9">
      <c r="A1087" t="s">
        <v>9</v>
      </c>
      <c r="B1087" t="s">
        <v>10</v>
      </c>
      <c r="C1087">
        <v>65</v>
      </c>
      <c r="D1087" t="s">
        <v>11</v>
      </c>
      <c r="E1087" t="s">
        <v>2133</v>
      </c>
      <c r="F1087" t="s">
        <v>2134</v>
      </c>
      <c r="G1087">
        <v>167738</v>
      </c>
      <c r="I1087" t="s">
        <v>14</v>
      </c>
    </row>
    <row r="1088" spans="1:9">
      <c r="A1088" t="s">
        <v>9</v>
      </c>
      <c r="B1088" t="s">
        <v>10</v>
      </c>
      <c r="C1088">
        <v>65</v>
      </c>
      <c r="D1088" t="s">
        <v>11</v>
      </c>
      <c r="E1088" t="s">
        <v>2135</v>
      </c>
      <c r="F1088" t="s">
        <v>2136</v>
      </c>
      <c r="G1088">
        <v>179569</v>
      </c>
      <c r="I1088" t="s">
        <v>14</v>
      </c>
    </row>
    <row r="1089" spans="1:9">
      <c r="A1089" t="s">
        <v>9</v>
      </c>
      <c r="B1089" t="s">
        <v>10</v>
      </c>
      <c r="C1089">
        <v>65</v>
      </c>
      <c r="D1089" t="s">
        <v>11</v>
      </c>
      <c r="E1089" t="s">
        <v>2137</v>
      </c>
      <c r="F1089" t="s">
        <v>2138</v>
      </c>
      <c r="G1089">
        <v>335932</v>
      </c>
      <c r="I1089" t="s">
        <v>14</v>
      </c>
    </row>
    <row r="1090" spans="1:9">
      <c r="A1090" t="s">
        <v>9</v>
      </c>
      <c r="B1090" t="s">
        <v>10</v>
      </c>
      <c r="C1090">
        <v>65</v>
      </c>
      <c r="D1090" t="s">
        <v>11</v>
      </c>
      <c r="E1090" t="s">
        <v>2139</v>
      </c>
      <c r="F1090" t="s">
        <v>2140</v>
      </c>
      <c r="G1090">
        <v>295465</v>
      </c>
      <c r="I1090" t="s">
        <v>14</v>
      </c>
    </row>
    <row r="1091" spans="1:9">
      <c r="A1091" t="s">
        <v>9</v>
      </c>
      <c r="B1091" t="s">
        <v>10</v>
      </c>
      <c r="C1091">
        <v>65</v>
      </c>
      <c r="D1091" t="s">
        <v>11</v>
      </c>
      <c r="E1091" t="s">
        <v>2141</v>
      </c>
      <c r="F1091" t="s">
        <v>2142</v>
      </c>
      <c r="G1091">
        <v>67290</v>
      </c>
      <c r="I1091" t="s">
        <v>14</v>
      </c>
    </row>
    <row r="1092" spans="1:9">
      <c r="A1092" t="s">
        <v>9</v>
      </c>
      <c r="B1092" t="s">
        <v>10</v>
      </c>
      <c r="C1092">
        <v>65</v>
      </c>
      <c r="D1092" t="s">
        <v>11</v>
      </c>
      <c r="E1092" t="s">
        <v>2143</v>
      </c>
      <c r="F1092" t="s">
        <v>2144</v>
      </c>
      <c r="G1092">
        <v>18991</v>
      </c>
      <c r="I1092" t="s">
        <v>14</v>
      </c>
    </row>
    <row r="1093" spans="1:9">
      <c r="A1093" t="s">
        <v>9</v>
      </c>
      <c r="B1093" t="s">
        <v>10</v>
      </c>
      <c r="C1093">
        <v>65</v>
      </c>
      <c r="D1093" t="s">
        <v>11</v>
      </c>
      <c r="E1093" t="s">
        <v>2145</v>
      </c>
      <c r="F1093" t="s">
        <v>2146</v>
      </c>
      <c r="G1093">
        <v>6738</v>
      </c>
      <c r="I1093" t="s">
        <v>14</v>
      </c>
    </row>
    <row r="1094" spans="1:9">
      <c r="A1094" t="s">
        <v>9</v>
      </c>
      <c r="B1094" t="s">
        <v>10</v>
      </c>
      <c r="C1094">
        <v>65</v>
      </c>
      <c r="D1094" t="s">
        <v>11</v>
      </c>
      <c r="E1094" t="s">
        <v>2147</v>
      </c>
      <c r="F1094" t="s">
        <v>2148</v>
      </c>
      <c r="G1094">
        <v>15712</v>
      </c>
      <c r="I1094" t="s">
        <v>14</v>
      </c>
    </row>
    <row r="1095" spans="1:9">
      <c r="A1095" t="s">
        <v>9</v>
      </c>
      <c r="B1095" t="s">
        <v>10</v>
      </c>
      <c r="C1095">
        <v>65</v>
      </c>
      <c r="D1095" t="s">
        <v>11</v>
      </c>
      <c r="E1095" t="s">
        <v>2149</v>
      </c>
      <c r="F1095" t="s">
        <v>2150</v>
      </c>
      <c r="G1095">
        <v>25216</v>
      </c>
      <c r="I1095" t="s">
        <v>14</v>
      </c>
    </row>
    <row r="1096" spans="1:9">
      <c r="A1096" t="s">
        <v>9</v>
      </c>
      <c r="B1096" t="s">
        <v>10</v>
      </c>
      <c r="C1096">
        <v>65</v>
      </c>
      <c r="D1096" t="s">
        <v>11</v>
      </c>
      <c r="E1096" t="s">
        <v>2151</v>
      </c>
      <c r="F1096" t="s">
        <v>2152</v>
      </c>
      <c r="G1096">
        <v>17934</v>
      </c>
      <c r="I1096" t="s">
        <v>14</v>
      </c>
    </row>
    <row r="1097" spans="1:9">
      <c r="A1097" t="s">
        <v>9</v>
      </c>
      <c r="B1097" t="s">
        <v>10</v>
      </c>
      <c r="C1097">
        <v>65</v>
      </c>
      <c r="D1097" t="s">
        <v>11</v>
      </c>
      <c r="E1097" t="s">
        <v>2153</v>
      </c>
      <c r="F1097" t="s">
        <v>2154</v>
      </c>
      <c r="G1097">
        <v>25329</v>
      </c>
      <c r="I1097" t="s">
        <v>14</v>
      </c>
    </row>
    <row r="1098" spans="1:9">
      <c r="A1098" t="s">
        <v>9</v>
      </c>
      <c r="B1098" t="s">
        <v>10</v>
      </c>
      <c r="C1098">
        <v>65</v>
      </c>
      <c r="D1098" t="s">
        <v>11</v>
      </c>
      <c r="E1098" t="s">
        <v>2155</v>
      </c>
      <c r="F1098" t="s">
        <v>2156</v>
      </c>
      <c r="G1098">
        <v>92880</v>
      </c>
      <c r="I1098" t="s">
        <v>14</v>
      </c>
    </row>
    <row r="1099" spans="1:9">
      <c r="A1099" t="s">
        <v>9</v>
      </c>
      <c r="B1099" t="s">
        <v>10</v>
      </c>
      <c r="C1099">
        <v>65</v>
      </c>
      <c r="D1099" t="s">
        <v>11</v>
      </c>
      <c r="E1099" t="s">
        <v>2157</v>
      </c>
      <c r="F1099" t="s">
        <v>2158</v>
      </c>
      <c r="G1099">
        <v>114853</v>
      </c>
      <c r="I1099" t="s">
        <v>14</v>
      </c>
    </row>
    <row r="1100" spans="1:9">
      <c r="A1100" t="s">
        <v>9</v>
      </c>
      <c r="B1100" t="s">
        <v>10</v>
      </c>
      <c r="C1100">
        <v>65</v>
      </c>
      <c r="D1100" t="s">
        <v>11</v>
      </c>
      <c r="E1100" t="s">
        <v>2159</v>
      </c>
      <c r="F1100" t="s">
        <v>2160</v>
      </c>
      <c r="G1100">
        <v>230294</v>
      </c>
      <c r="I1100" t="s">
        <v>14</v>
      </c>
    </row>
    <row r="1101" spans="1:9">
      <c r="A1101" t="s">
        <v>9</v>
      </c>
      <c r="B1101" t="s">
        <v>10</v>
      </c>
      <c r="C1101">
        <v>65</v>
      </c>
      <c r="D1101" t="s">
        <v>11</v>
      </c>
      <c r="E1101" t="s">
        <v>2161</v>
      </c>
      <c r="F1101" t="s">
        <v>2162</v>
      </c>
      <c r="G1101">
        <v>189424</v>
      </c>
      <c r="I1101" t="s">
        <v>14</v>
      </c>
    </row>
    <row r="1102" spans="1:9">
      <c r="A1102" t="s">
        <v>9</v>
      </c>
      <c r="B1102" t="s">
        <v>10</v>
      </c>
      <c r="C1102">
        <v>65</v>
      </c>
      <c r="D1102" t="s">
        <v>11</v>
      </c>
      <c r="E1102" t="s">
        <v>2163</v>
      </c>
      <c r="F1102" t="s">
        <v>2164</v>
      </c>
      <c r="G1102">
        <v>46305</v>
      </c>
      <c r="I1102" t="s">
        <v>14</v>
      </c>
    </row>
    <row r="1103" spans="1:9">
      <c r="A1103" t="s">
        <v>9</v>
      </c>
      <c r="B1103" t="s">
        <v>10</v>
      </c>
      <c r="C1103">
        <v>65</v>
      </c>
      <c r="D1103" t="s">
        <v>11</v>
      </c>
      <c r="E1103" t="s">
        <v>2165</v>
      </c>
      <c r="F1103" t="s">
        <v>2166</v>
      </c>
      <c r="G1103">
        <v>59231</v>
      </c>
      <c r="I1103" t="s">
        <v>14</v>
      </c>
    </row>
    <row r="1104" spans="1:9">
      <c r="A1104" t="s">
        <v>9</v>
      </c>
      <c r="B1104" t="s">
        <v>10</v>
      </c>
      <c r="C1104">
        <v>65</v>
      </c>
      <c r="D1104" t="s">
        <v>11</v>
      </c>
      <c r="E1104" t="s">
        <v>2167</v>
      </c>
      <c r="F1104" t="s">
        <v>2168</v>
      </c>
      <c r="G1104">
        <v>13795</v>
      </c>
      <c r="I1104" t="s">
        <v>14</v>
      </c>
    </row>
    <row r="1105" spans="1:9">
      <c r="A1105" t="s">
        <v>9</v>
      </c>
      <c r="B1105" t="s">
        <v>10</v>
      </c>
      <c r="C1105">
        <v>65</v>
      </c>
      <c r="D1105" t="s">
        <v>11</v>
      </c>
      <c r="E1105" t="s">
        <v>2169</v>
      </c>
      <c r="F1105" t="s">
        <v>2170</v>
      </c>
      <c r="G1105">
        <v>4047</v>
      </c>
      <c r="I1105" t="s">
        <v>14</v>
      </c>
    </row>
    <row r="1106" spans="1:9">
      <c r="A1106" t="s">
        <v>9</v>
      </c>
      <c r="B1106" t="s">
        <v>10</v>
      </c>
      <c r="C1106">
        <v>65</v>
      </c>
      <c r="D1106" t="s">
        <v>11</v>
      </c>
      <c r="E1106" t="s">
        <v>2171</v>
      </c>
      <c r="F1106" t="s">
        <v>2172</v>
      </c>
      <c r="G1106">
        <v>10431</v>
      </c>
      <c r="I1106" t="s">
        <v>14</v>
      </c>
    </row>
    <row r="1107" spans="1:9">
      <c r="A1107" t="s">
        <v>9</v>
      </c>
      <c r="B1107" t="s">
        <v>10</v>
      </c>
      <c r="C1107">
        <v>65</v>
      </c>
      <c r="D1107" t="s">
        <v>11</v>
      </c>
      <c r="E1107" t="s">
        <v>2173</v>
      </c>
      <c r="F1107" t="s">
        <v>2174</v>
      </c>
      <c r="G1107">
        <v>14271</v>
      </c>
      <c r="I1107" t="s">
        <v>14</v>
      </c>
    </row>
    <row r="1108" spans="1:9">
      <c r="A1108" t="s">
        <v>9</v>
      </c>
      <c r="B1108" t="s">
        <v>10</v>
      </c>
      <c r="C1108">
        <v>65</v>
      </c>
      <c r="D1108" t="s">
        <v>11</v>
      </c>
      <c r="E1108" t="s">
        <v>2175</v>
      </c>
      <c r="F1108" t="s">
        <v>2176</v>
      </c>
      <c r="G1108">
        <v>45928</v>
      </c>
      <c r="I1108" t="s">
        <v>14</v>
      </c>
    </row>
    <row r="1109" spans="1:9">
      <c r="A1109" t="s">
        <v>9</v>
      </c>
      <c r="B1109" t="s">
        <v>10</v>
      </c>
      <c r="C1109">
        <v>65</v>
      </c>
      <c r="D1109" t="s">
        <v>11</v>
      </c>
      <c r="E1109" t="s">
        <v>2177</v>
      </c>
      <c r="F1109" t="s">
        <v>2178</v>
      </c>
      <c r="G1109">
        <v>278432</v>
      </c>
      <c r="I1109" t="s">
        <v>14</v>
      </c>
    </row>
    <row r="1110" spans="1:9">
      <c r="A1110" t="s">
        <v>9</v>
      </c>
      <c r="B1110" t="s">
        <v>10</v>
      </c>
      <c r="C1110">
        <v>65</v>
      </c>
      <c r="D1110" t="s">
        <v>11</v>
      </c>
      <c r="E1110" t="s">
        <v>2179</v>
      </c>
      <c r="F1110" t="s">
        <v>2180</v>
      </c>
      <c r="G1110">
        <v>161069</v>
      </c>
      <c r="I1110" t="s">
        <v>14</v>
      </c>
    </row>
    <row r="1111" spans="1:9">
      <c r="A1111" t="s">
        <v>9</v>
      </c>
      <c r="B1111" t="s">
        <v>10</v>
      </c>
      <c r="C1111">
        <v>65</v>
      </c>
      <c r="D1111" t="s">
        <v>11</v>
      </c>
      <c r="E1111" t="s">
        <v>2181</v>
      </c>
      <c r="F1111" t="s">
        <v>2182</v>
      </c>
      <c r="G1111">
        <v>319015</v>
      </c>
      <c r="I1111" t="s">
        <v>14</v>
      </c>
    </row>
    <row r="1112" spans="1:9">
      <c r="A1112" t="s">
        <v>9</v>
      </c>
      <c r="B1112" t="s">
        <v>10</v>
      </c>
      <c r="C1112">
        <v>65</v>
      </c>
      <c r="D1112" t="s">
        <v>11</v>
      </c>
      <c r="E1112" t="s">
        <v>2183</v>
      </c>
      <c r="F1112" t="s">
        <v>2184</v>
      </c>
      <c r="G1112">
        <v>334965</v>
      </c>
      <c r="I1112" t="s">
        <v>14</v>
      </c>
    </row>
    <row r="1113" spans="1:9">
      <c r="A1113" t="s">
        <v>9</v>
      </c>
      <c r="B1113" t="s">
        <v>10</v>
      </c>
      <c r="C1113">
        <v>65</v>
      </c>
      <c r="D1113" t="s">
        <v>11</v>
      </c>
      <c r="E1113" t="s">
        <v>2185</v>
      </c>
      <c r="F1113" t="s">
        <v>2186</v>
      </c>
      <c r="G1113">
        <v>630922</v>
      </c>
      <c r="I1113" t="s">
        <v>14</v>
      </c>
    </row>
    <row r="1114" spans="1:9">
      <c r="A1114" t="s">
        <v>9</v>
      </c>
      <c r="B1114" t="s">
        <v>10</v>
      </c>
      <c r="C1114">
        <v>65</v>
      </c>
      <c r="D1114" t="s">
        <v>11</v>
      </c>
      <c r="E1114" t="s">
        <v>2187</v>
      </c>
      <c r="F1114" t="s">
        <v>2188</v>
      </c>
      <c r="G1114">
        <v>524051</v>
      </c>
      <c r="I1114" t="s">
        <v>14</v>
      </c>
    </row>
    <row r="1115" spans="1:9">
      <c r="A1115" t="s">
        <v>9</v>
      </c>
      <c r="B1115" t="s">
        <v>10</v>
      </c>
      <c r="C1115">
        <v>65</v>
      </c>
      <c r="D1115" t="s">
        <v>11</v>
      </c>
      <c r="E1115" t="s">
        <v>2189</v>
      </c>
      <c r="F1115" t="s">
        <v>2190</v>
      </c>
      <c r="G1115">
        <v>225810</v>
      </c>
      <c r="I1115" t="s">
        <v>14</v>
      </c>
    </row>
    <row r="1116" spans="1:9">
      <c r="A1116" t="s">
        <v>9</v>
      </c>
      <c r="B1116" t="s">
        <v>10</v>
      </c>
      <c r="C1116">
        <v>65</v>
      </c>
      <c r="D1116" t="s">
        <v>11</v>
      </c>
      <c r="E1116" t="s">
        <v>2191</v>
      </c>
      <c r="F1116" t="s">
        <v>2192</v>
      </c>
      <c r="G1116">
        <v>53823</v>
      </c>
      <c r="I1116" t="s">
        <v>14</v>
      </c>
    </row>
    <row r="1117" spans="1:9">
      <c r="A1117" t="s">
        <v>9</v>
      </c>
      <c r="B1117" t="s">
        <v>10</v>
      </c>
      <c r="C1117">
        <v>65</v>
      </c>
      <c r="D1117" t="s">
        <v>11</v>
      </c>
      <c r="E1117" t="s">
        <v>2193</v>
      </c>
      <c r="F1117" t="s">
        <v>2194</v>
      </c>
      <c r="G1117">
        <v>24843</v>
      </c>
      <c r="I1117" t="s">
        <v>14</v>
      </c>
    </row>
    <row r="1118" spans="1:9">
      <c r="A1118" t="s">
        <v>9</v>
      </c>
      <c r="B1118" t="s">
        <v>10</v>
      </c>
      <c r="C1118">
        <v>65</v>
      </c>
      <c r="D1118" t="s">
        <v>11</v>
      </c>
      <c r="E1118" t="s">
        <v>2195</v>
      </c>
      <c r="F1118" t="s">
        <v>2196</v>
      </c>
      <c r="G1118">
        <v>18787</v>
      </c>
      <c r="I1118" t="s">
        <v>14</v>
      </c>
    </row>
    <row r="1119" spans="1:9">
      <c r="A1119" t="s">
        <v>9</v>
      </c>
      <c r="B1119" t="s">
        <v>10</v>
      </c>
      <c r="C1119">
        <v>65</v>
      </c>
      <c r="D1119" t="s">
        <v>11</v>
      </c>
      <c r="E1119" t="s">
        <v>2197</v>
      </c>
      <c r="F1119" t="s">
        <v>2198</v>
      </c>
      <c r="G1119">
        <v>7484</v>
      </c>
      <c r="I1119" t="s">
        <v>14</v>
      </c>
    </row>
    <row r="1120" spans="1:9">
      <c r="A1120" t="s">
        <v>9</v>
      </c>
      <c r="B1120" t="s">
        <v>10</v>
      </c>
      <c r="C1120">
        <v>65</v>
      </c>
      <c r="D1120" t="s">
        <v>11</v>
      </c>
      <c r="E1120" t="s">
        <v>2199</v>
      </c>
      <c r="F1120" t="s">
        <v>2200</v>
      </c>
      <c r="G1120">
        <v>18418</v>
      </c>
      <c r="I1120" t="s">
        <v>14</v>
      </c>
    </row>
    <row r="1121" spans="1:9">
      <c r="A1121" t="s">
        <v>9</v>
      </c>
      <c r="B1121" t="s">
        <v>10</v>
      </c>
      <c r="C1121">
        <v>65</v>
      </c>
      <c r="D1121" t="s">
        <v>11</v>
      </c>
      <c r="E1121" t="s">
        <v>2201</v>
      </c>
      <c r="F1121" t="s">
        <v>2202</v>
      </c>
      <c r="G1121">
        <v>21904</v>
      </c>
      <c r="I1121" t="s">
        <v>14</v>
      </c>
    </row>
    <row r="1122" spans="1:9">
      <c r="A1122" t="s">
        <v>9</v>
      </c>
      <c r="B1122" t="s">
        <v>10</v>
      </c>
      <c r="C1122">
        <v>65</v>
      </c>
      <c r="D1122" t="s">
        <v>11</v>
      </c>
      <c r="E1122" t="s">
        <v>2203</v>
      </c>
      <c r="F1122" t="s">
        <v>2204</v>
      </c>
      <c r="G1122">
        <v>53241</v>
      </c>
      <c r="I1122" t="s">
        <v>14</v>
      </c>
    </row>
    <row r="1123" spans="1:9">
      <c r="A1123" t="s">
        <v>9</v>
      </c>
      <c r="B1123" t="s">
        <v>10</v>
      </c>
      <c r="C1123">
        <v>65</v>
      </c>
      <c r="D1123" t="s">
        <v>11</v>
      </c>
      <c r="E1123" t="s">
        <v>2205</v>
      </c>
      <c r="F1123" t="s">
        <v>2206</v>
      </c>
      <c r="G1123">
        <v>108309</v>
      </c>
      <c r="I1123" t="s">
        <v>14</v>
      </c>
    </row>
    <row r="1124" spans="1:9">
      <c r="A1124" t="s">
        <v>9</v>
      </c>
      <c r="B1124" t="s">
        <v>10</v>
      </c>
      <c r="C1124">
        <v>65</v>
      </c>
      <c r="D1124" t="s">
        <v>11</v>
      </c>
      <c r="E1124" t="s">
        <v>2207</v>
      </c>
      <c r="F1124" t="s">
        <v>2208</v>
      </c>
      <c r="G1124">
        <v>195219</v>
      </c>
      <c r="I1124" t="s">
        <v>14</v>
      </c>
    </row>
    <row r="1125" spans="1:9">
      <c r="A1125" t="s">
        <v>9</v>
      </c>
      <c r="B1125" t="s">
        <v>10</v>
      </c>
      <c r="C1125">
        <v>65</v>
      </c>
      <c r="D1125" t="s">
        <v>11</v>
      </c>
      <c r="E1125" t="s">
        <v>2209</v>
      </c>
      <c r="F1125" t="s">
        <v>2210</v>
      </c>
      <c r="G1125">
        <v>275062</v>
      </c>
      <c r="I1125" t="s">
        <v>14</v>
      </c>
    </row>
    <row r="1126" spans="1:9">
      <c r="A1126" t="s">
        <v>9</v>
      </c>
      <c r="B1126" t="s">
        <v>10</v>
      </c>
      <c r="C1126">
        <v>65</v>
      </c>
      <c r="D1126" t="s">
        <v>11</v>
      </c>
      <c r="E1126" t="s">
        <v>2211</v>
      </c>
      <c r="F1126" t="s">
        <v>2212</v>
      </c>
      <c r="G1126">
        <v>118698</v>
      </c>
      <c r="I1126" t="s">
        <v>14</v>
      </c>
    </row>
    <row r="1127" spans="1:9">
      <c r="A1127" t="s">
        <v>9</v>
      </c>
      <c r="B1127" t="s">
        <v>10</v>
      </c>
      <c r="C1127">
        <v>65</v>
      </c>
      <c r="D1127" t="s">
        <v>11</v>
      </c>
      <c r="E1127" t="s">
        <v>2213</v>
      </c>
      <c r="F1127" t="s">
        <v>2214</v>
      </c>
      <c r="G1127">
        <v>32885</v>
      </c>
      <c r="I1127" t="s">
        <v>14</v>
      </c>
    </row>
    <row r="1128" spans="1:9">
      <c r="A1128" t="s">
        <v>9</v>
      </c>
      <c r="B1128" t="s">
        <v>10</v>
      </c>
      <c r="C1128">
        <v>65</v>
      </c>
      <c r="D1128" t="s">
        <v>11</v>
      </c>
      <c r="E1128" t="s">
        <v>2215</v>
      </c>
      <c r="F1128" t="s">
        <v>2216</v>
      </c>
      <c r="G1128">
        <v>25176</v>
      </c>
      <c r="I1128" t="s">
        <v>14</v>
      </c>
    </row>
    <row r="1129" spans="1:9">
      <c r="A1129" t="s">
        <v>9</v>
      </c>
      <c r="B1129" t="s">
        <v>10</v>
      </c>
      <c r="C1129">
        <v>65</v>
      </c>
      <c r="D1129" t="s">
        <v>11</v>
      </c>
      <c r="E1129" t="s">
        <v>2217</v>
      </c>
      <c r="F1129" t="s">
        <v>2218</v>
      </c>
      <c r="G1129">
        <v>9502</v>
      </c>
      <c r="I1129" t="s">
        <v>14</v>
      </c>
    </row>
    <row r="1130" spans="1:9">
      <c r="A1130" t="s">
        <v>9</v>
      </c>
      <c r="B1130" t="s">
        <v>10</v>
      </c>
      <c r="C1130">
        <v>65</v>
      </c>
      <c r="D1130" t="s">
        <v>11</v>
      </c>
      <c r="E1130" t="s">
        <v>2219</v>
      </c>
      <c r="F1130" t="s">
        <v>2220</v>
      </c>
      <c r="G1130">
        <v>10217</v>
      </c>
      <c r="I1130" t="s">
        <v>14</v>
      </c>
    </row>
    <row r="1131" spans="1:9">
      <c r="A1131" t="s">
        <v>9</v>
      </c>
      <c r="B1131" t="s">
        <v>10</v>
      </c>
      <c r="C1131">
        <v>65</v>
      </c>
      <c r="D1131" t="s">
        <v>11</v>
      </c>
      <c r="E1131" t="s">
        <v>2221</v>
      </c>
      <c r="F1131" t="s">
        <v>2222</v>
      </c>
      <c r="G1131">
        <v>64214</v>
      </c>
      <c r="I1131" t="s">
        <v>14</v>
      </c>
    </row>
    <row r="1132" spans="1:9">
      <c r="A1132" t="s">
        <v>9</v>
      </c>
      <c r="B1132" t="s">
        <v>10</v>
      </c>
      <c r="C1132">
        <v>65</v>
      </c>
      <c r="D1132" t="s">
        <v>11</v>
      </c>
      <c r="E1132" t="s">
        <v>2223</v>
      </c>
      <c r="F1132" t="s">
        <v>2224</v>
      </c>
      <c r="G1132">
        <v>57836</v>
      </c>
      <c r="I1132" t="s">
        <v>14</v>
      </c>
    </row>
    <row r="1133" spans="1:9">
      <c r="A1133" t="s">
        <v>9</v>
      </c>
      <c r="B1133" t="s">
        <v>10</v>
      </c>
      <c r="C1133">
        <v>65</v>
      </c>
      <c r="D1133" t="s">
        <v>11</v>
      </c>
      <c r="E1133" t="s">
        <v>2225</v>
      </c>
      <c r="F1133" t="s">
        <v>2226</v>
      </c>
      <c r="G1133">
        <v>347701</v>
      </c>
      <c r="I1133" t="s">
        <v>14</v>
      </c>
    </row>
    <row r="1134" spans="1:9">
      <c r="A1134" t="s">
        <v>9</v>
      </c>
      <c r="B1134" t="s">
        <v>10</v>
      </c>
      <c r="C1134">
        <v>65</v>
      </c>
      <c r="D1134" t="s">
        <v>11</v>
      </c>
      <c r="E1134" t="s">
        <v>2227</v>
      </c>
      <c r="F1134" t="s">
        <v>2228</v>
      </c>
      <c r="G1134">
        <v>160230</v>
      </c>
      <c r="I1134" t="s">
        <v>14</v>
      </c>
    </row>
    <row r="1135" spans="1:9">
      <c r="A1135" t="s">
        <v>9</v>
      </c>
      <c r="B1135" t="s">
        <v>10</v>
      </c>
      <c r="C1135">
        <v>65</v>
      </c>
      <c r="D1135" t="s">
        <v>11</v>
      </c>
      <c r="E1135" t="s">
        <v>2229</v>
      </c>
      <c r="F1135" t="s">
        <v>2230</v>
      </c>
      <c r="G1135">
        <v>578656</v>
      </c>
      <c r="I1135" t="s">
        <v>14</v>
      </c>
    </row>
    <row r="1136" spans="1:9">
      <c r="A1136" t="s">
        <v>9</v>
      </c>
      <c r="B1136" t="s">
        <v>10</v>
      </c>
      <c r="C1136">
        <v>65</v>
      </c>
      <c r="D1136" t="s">
        <v>11</v>
      </c>
      <c r="E1136" t="s">
        <v>2231</v>
      </c>
      <c r="F1136" t="s">
        <v>2232</v>
      </c>
      <c r="G1136">
        <v>384947</v>
      </c>
      <c r="I1136" t="s">
        <v>14</v>
      </c>
    </row>
    <row r="1137" spans="1:9">
      <c r="A1137" t="s">
        <v>9</v>
      </c>
      <c r="B1137" t="s">
        <v>10</v>
      </c>
      <c r="C1137">
        <v>65</v>
      </c>
      <c r="D1137" t="s">
        <v>11</v>
      </c>
      <c r="E1137" t="s">
        <v>2233</v>
      </c>
      <c r="F1137" t="s">
        <v>2234</v>
      </c>
      <c r="G1137">
        <v>658899</v>
      </c>
      <c r="I1137" t="s">
        <v>14</v>
      </c>
    </row>
    <row r="1138" spans="1:9">
      <c r="A1138" t="s">
        <v>9</v>
      </c>
      <c r="B1138" t="s">
        <v>10</v>
      </c>
      <c r="C1138">
        <v>65</v>
      </c>
      <c r="D1138" t="s">
        <v>11</v>
      </c>
      <c r="E1138" t="s">
        <v>2235</v>
      </c>
      <c r="F1138" t="s">
        <v>2236</v>
      </c>
      <c r="G1138">
        <v>810870</v>
      </c>
      <c r="I1138" t="s">
        <v>14</v>
      </c>
    </row>
    <row r="1139" spans="1:9">
      <c r="A1139" t="s">
        <v>9</v>
      </c>
      <c r="B1139" t="s">
        <v>10</v>
      </c>
      <c r="C1139">
        <v>65</v>
      </c>
      <c r="D1139" t="s">
        <v>11</v>
      </c>
      <c r="E1139" t="s">
        <v>2237</v>
      </c>
      <c r="F1139" t="s">
        <v>2238</v>
      </c>
      <c r="G1139">
        <v>651643</v>
      </c>
      <c r="I1139" t="s">
        <v>14</v>
      </c>
    </row>
    <row r="1140" spans="1:9">
      <c r="A1140" t="s">
        <v>9</v>
      </c>
      <c r="B1140" t="s">
        <v>10</v>
      </c>
      <c r="C1140">
        <v>65</v>
      </c>
      <c r="D1140" t="s">
        <v>11</v>
      </c>
      <c r="E1140" t="s">
        <v>2239</v>
      </c>
      <c r="F1140" t="s">
        <v>2240</v>
      </c>
      <c r="G1140">
        <v>161589</v>
      </c>
      <c r="I1140" t="s">
        <v>14</v>
      </c>
    </row>
    <row r="1141" spans="1:9">
      <c r="A1141" t="s">
        <v>9</v>
      </c>
      <c r="B1141" t="s">
        <v>10</v>
      </c>
      <c r="C1141">
        <v>65</v>
      </c>
      <c r="D1141" t="s">
        <v>11</v>
      </c>
      <c r="E1141" t="s">
        <v>2241</v>
      </c>
      <c r="F1141" t="s">
        <v>2242</v>
      </c>
      <c r="G1141">
        <v>35003</v>
      </c>
      <c r="I1141" t="s">
        <v>14</v>
      </c>
    </row>
    <row r="1142" spans="1:9">
      <c r="A1142" t="s">
        <v>9</v>
      </c>
      <c r="B1142" t="s">
        <v>10</v>
      </c>
      <c r="C1142">
        <v>65</v>
      </c>
      <c r="D1142" t="s">
        <v>11</v>
      </c>
      <c r="E1142" t="s">
        <v>2243</v>
      </c>
      <c r="F1142" t="s">
        <v>2244</v>
      </c>
      <c r="G1142">
        <v>12041</v>
      </c>
      <c r="I1142" t="s">
        <v>14</v>
      </c>
    </row>
    <row r="1143" spans="1:9">
      <c r="A1143" t="s">
        <v>9</v>
      </c>
      <c r="B1143" t="s">
        <v>10</v>
      </c>
      <c r="C1143">
        <v>65</v>
      </c>
      <c r="D1143" t="s">
        <v>11</v>
      </c>
      <c r="E1143" t="s">
        <v>2245</v>
      </c>
      <c r="F1143" t="s">
        <v>2246</v>
      </c>
      <c r="G1143">
        <v>7169</v>
      </c>
      <c r="I1143" t="s">
        <v>14</v>
      </c>
    </row>
    <row r="1144" spans="1:9">
      <c r="A1144" t="s">
        <v>9</v>
      </c>
      <c r="B1144" t="s">
        <v>10</v>
      </c>
      <c r="C1144">
        <v>65</v>
      </c>
      <c r="D1144" t="s">
        <v>11</v>
      </c>
      <c r="E1144" t="s">
        <v>2247</v>
      </c>
      <c r="F1144" t="s">
        <v>2248</v>
      </c>
      <c r="G1144">
        <v>71564</v>
      </c>
      <c r="I1144" t="s">
        <v>14</v>
      </c>
    </row>
    <row r="1145" spans="1:9">
      <c r="A1145" t="s">
        <v>9</v>
      </c>
      <c r="B1145" t="s">
        <v>10</v>
      </c>
      <c r="C1145">
        <v>65</v>
      </c>
      <c r="D1145" t="s">
        <v>11</v>
      </c>
      <c r="E1145" t="s">
        <v>2249</v>
      </c>
      <c r="F1145" t="s">
        <v>2250</v>
      </c>
      <c r="G1145">
        <v>129492</v>
      </c>
      <c r="I1145" t="s">
        <v>14</v>
      </c>
    </row>
    <row r="1146" spans="1:9">
      <c r="A1146" t="s">
        <v>9</v>
      </c>
      <c r="B1146" t="s">
        <v>10</v>
      </c>
      <c r="C1146">
        <v>65</v>
      </c>
      <c r="D1146" t="s">
        <v>11</v>
      </c>
      <c r="E1146" t="s">
        <v>2251</v>
      </c>
      <c r="F1146" t="s">
        <v>2252</v>
      </c>
      <c r="G1146">
        <v>347688</v>
      </c>
      <c r="I1146" t="s">
        <v>14</v>
      </c>
    </row>
    <row r="1147" spans="1:9">
      <c r="A1147" t="s">
        <v>9</v>
      </c>
      <c r="B1147" t="s">
        <v>10</v>
      </c>
      <c r="C1147">
        <v>65</v>
      </c>
      <c r="D1147" t="s">
        <v>11</v>
      </c>
      <c r="E1147" t="s">
        <v>2253</v>
      </c>
      <c r="F1147" t="s">
        <v>2254</v>
      </c>
      <c r="G1147">
        <v>289540</v>
      </c>
      <c r="I1147" t="s">
        <v>14</v>
      </c>
    </row>
    <row r="1148" spans="1:9">
      <c r="A1148" t="s">
        <v>9</v>
      </c>
      <c r="B1148" t="s">
        <v>10</v>
      </c>
      <c r="C1148">
        <v>65</v>
      </c>
      <c r="D1148" t="s">
        <v>11</v>
      </c>
      <c r="E1148" t="s">
        <v>2255</v>
      </c>
      <c r="F1148" t="s">
        <v>2256</v>
      </c>
      <c r="G1148">
        <v>323424</v>
      </c>
      <c r="I1148" t="s">
        <v>14</v>
      </c>
    </row>
    <row r="1149" spans="1:9">
      <c r="A1149" t="s">
        <v>9</v>
      </c>
      <c r="B1149" t="s">
        <v>10</v>
      </c>
      <c r="C1149">
        <v>65</v>
      </c>
      <c r="D1149" t="s">
        <v>11</v>
      </c>
      <c r="E1149" t="s">
        <v>2257</v>
      </c>
      <c r="F1149" t="s">
        <v>2258</v>
      </c>
      <c r="G1149">
        <v>576285</v>
      </c>
      <c r="I1149" t="s">
        <v>14</v>
      </c>
    </row>
    <row r="1150" spans="1:9">
      <c r="A1150" t="s">
        <v>9</v>
      </c>
      <c r="B1150" t="s">
        <v>10</v>
      </c>
      <c r="C1150">
        <v>65</v>
      </c>
      <c r="D1150" t="s">
        <v>11</v>
      </c>
      <c r="E1150" t="s">
        <v>2259</v>
      </c>
      <c r="F1150" t="s">
        <v>2260</v>
      </c>
      <c r="G1150">
        <v>389269</v>
      </c>
      <c r="I1150" t="s">
        <v>14</v>
      </c>
    </row>
    <row r="1151" spans="1:9">
      <c r="A1151" t="s">
        <v>9</v>
      </c>
      <c r="B1151" t="s">
        <v>10</v>
      </c>
      <c r="C1151">
        <v>65</v>
      </c>
      <c r="D1151" t="s">
        <v>11</v>
      </c>
      <c r="E1151" t="s">
        <v>2261</v>
      </c>
      <c r="F1151" t="s">
        <v>2262</v>
      </c>
      <c r="G1151">
        <v>132903</v>
      </c>
      <c r="I1151" t="s">
        <v>14</v>
      </c>
    </row>
    <row r="1152" spans="1:9">
      <c r="A1152" t="s">
        <v>9</v>
      </c>
      <c r="B1152" t="s">
        <v>10</v>
      </c>
      <c r="C1152">
        <v>65</v>
      </c>
      <c r="D1152" t="s">
        <v>11</v>
      </c>
      <c r="E1152" t="s">
        <v>2263</v>
      </c>
      <c r="F1152" t="s">
        <v>2263</v>
      </c>
      <c r="G1152">
        <v>26072</v>
      </c>
      <c r="I1152" t="s">
        <v>14</v>
      </c>
    </row>
    <row r="1153" spans="1:9">
      <c r="A1153" t="s">
        <v>9</v>
      </c>
      <c r="B1153" t="s">
        <v>10</v>
      </c>
      <c r="C1153">
        <v>65</v>
      </c>
      <c r="D1153" t="s">
        <v>11</v>
      </c>
      <c r="E1153" t="s">
        <v>2264</v>
      </c>
      <c r="F1153" t="s">
        <v>2264</v>
      </c>
      <c r="G1153">
        <v>10870</v>
      </c>
      <c r="I1153" t="s">
        <v>14</v>
      </c>
    </row>
    <row r="1154" spans="1:9">
      <c r="A1154" t="s">
        <v>9</v>
      </c>
      <c r="B1154" t="s">
        <v>10</v>
      </c>
      <c r="C1154">
        <v>65</v>
      </c>
      <c r="D1154" t="s">
        <v>11</v>
      </c>
      <c r="E1154" t="s">
        <v>2265</v>
      </c>
      <c r="F1154" t="s">
        <v>2265</v>
      </c>
      <c r="G1154">
        <v>8112</v>
      </c>
      <c r="I1154" t="s">
        <v>14</v>
      </c>
    </row>
    <row r="1155" spans="1:9">
      <c r="A1155" t="s">
        <v>9</v>
      </c>
      <c r="B1155" t="s">
        <v>10</v>
      </c>
      <c r="C1155">
        <v>65</v>
      </c>
      <c r="D1155" t="s">
        <v>11</v>
      </c>
      <c r="E1155" t="s">
        <v>2266</v>
      </c>
      <c r="F1155" t="s">
        <v>2266</v>
      </c>
      <c r="G1155">
        <v>111871</v>
      </c>
      <c r="I1155" t="s">
        <v>14</v>
      </c>
    </row>
    <row r="1156" spans="1:9">
      <c r="A1156" t="s">
        <v>9</v>
      </c>
      <c r="B1156" t="s">
        <v>10</v>
      </c>
      <c r="C1156">
        <v>65</v>
      </c>
      <c r="D1156" t="s">
        <v>11</v>
      </c>
      <c r="E1156" t="s">
        <v>2267</v>
      </c>
      <c r="F1156" t="s">
        <v>2267</v>
      </c>
      <c r="G1156">
        <v>387137</v>
      </c>
      <c r="I1156" t="s">
        <v>14</v>
      </c>
    </row>
    <row r="1157" spans="1:9">
      <c r="A1157" t="s">
        <v>9</v>
      </c>
      <c r="B1157" t="s">
        <v>10</v>
      </c>
      <c r="C1157">
        <v>65</v>
      </c>
      <c r="D1157" t="s">
        <v>11</v>
      </c>
      <c r="E1157" t="s">
        <v>2268</v>
      </c>
      <c r="F1157" t="s">
        <v>2268</v>
      </c>
      <c r="G1157">
        <v>1033397</v>
      </c>
      <c r="I1157" t="s">
        <v>14</v>
      </c>
    </row>
    <row r="1158" spans="1:9">
      <c r="A1158" t="s">
        <v>9</v>
      </c>
      <c r="B1158" t="s">
        <v>10</v>
      </c>
      <c r="C1158">
        <v>65</v>
      </c>
      <c r="D1158" t="s">
        <v>11</v>
      </c>
      <c r="E1158" t="s">
        <v>2269</v>
      </c>
      <c r="F1158" t="s">
        <v>2269</v>
      </c>
      <c r="G1158">
        <v>170075</v>
      </c>
      <c r="I1158" t="s">
        <v>14</v>
      </c>
    </row>
    <row r="1159" spans="1:9">
      <c r="A1159" t="s">
        <v>9</v>
      </c>
      <c r="B1159" t="s">
        <v>10</v>
      </c>
      <c r="C1159">
        <v>65</v>
      </c>
      <c r="D1159" t="s">
        <v>11</v>
      </c>
      <c r="E1159" t="s">
        <v>2270</v>
      </c>
      <c r="F1159" t="s">
        <v>2270</v>
      </c>
      <c r="G1159">
        <v>231657</v>
      </c>
      <c r="I1159" t="s">
        <v>14</v>
      </c>
    </row>
    <row r="1160" spans="1:9">
      <c r="A1160" t="s">
        <v>9</v>
      </c>
      <c r="B1160" t="s">
        <v>10</v>
      </c>
      <c r="C1160">
        <v>65</v>
      </c>
      <c r="D1160" t="s">
        <v>11</v>
      </c>
      <c r="E1160" t="s">
        <v>2271</v>
      </c>
      <c r="F1160" t="s">
        <v>2271</v>
      </c>
      <c r="G1160">
        <v>276654</v>
      </c>
      <c r="I1160" t="s">
        <v>14</v>
      </c>
    </row>
    <row r="1161" spans="1:9">
      <c r="A1161" t="s">
        <v>9</v>
      </c>
      <c r="B1161" t="s">
        <v>10</v>
      </c>
      <c r="C1161">
        <v>65</v>
      </c>
      <c r="D1161" t="s">
        <v>11</v>
      </c>
      <c r="E1161" t="s">
        <v>2272</v>
      </c>
      <c r="F1161" t="s">
        <v>2272</v>
      </c>
      <c r="G1161">
        <v>541541</v>
      </c>
      <c r="I1161" t="s">
        <v>14</v>
      </c>
    </row>
    <row r="1162" spans="1:9">
      <c r="A1162" t="s">
        <v>9</v>
      </c>
      <c r="B1162" t="s">
        <v>10</v>
      </c>
      <c r="C1162">
        <v>65</v>
      </c>
      <c r="D1162" t="s">
        <v>11</v>
      </c>
      <c r="E1162" t="s">
        <v>2273</v>
      </c>
      <c r="F1162" t="s">
        <v>2273</v>
      </c>
      <c r="G1162">
        <v>335830</v>
      </c>
      <c r="I1162" t="s">
        <v>14</v>
      </c>
    </row>
    <row r="1163" spans="1:9">
      <c r="A1163" t="s">
        <v>9</v>
      </c>
      <c r="B1163" t="s">
        <v>10</v>
      </c>
      <c r="C1163">
        <v>65</v>
      </c>
      <c r="D1163" t="s">
        <v>11</v>
      </c>
      <c r="E1163" t="s">
        <v>2274</v>
      </c>
      <c r="F1163" t="s">
        <v>2274</v>
      </c>
      <c r="G1163">
        <v>57012</v>
      </c>
      <c r="I1163" t="s">
        <v>14</v>
      </c>
    </row>
    <row r="1164" spans="1:9">
      <c r="A1164" t="s">
        <v>9</v>
      </c>
      <c r="B1164" t="s">
        <v>10</v>
      </c>
      <c r="C1164">
        <v>65</v>
      </c>
      <c r="D1164" t="s">
        <v>11</v>
      </c>
      <c r="E1164" t="s">
        <v>2275</v>
      </c>
      <c r="F1164" t="s">
        <v>2275</v>
      </c>
      <c r="G1164">
        <v>49118</v>
      </c>
      <c r="I1164" t="s">
        <v>14</v>
      </c>
    </row>
    <row r="1165" spans="1:9">
      <c r="A1165" t="s">
        <v>9</v>
      </c>
      <c r="B1165" t="s">
        <v>10</v>
      </c>
      <c r="C1165">
        <v>65</v>
      </c>
      <c r="D1165" t="s">
        <v>11</v>
      </c>
      <c r="E1165" t="s">
        <v>2276</v>
      </c>
      <c r="F1165" t="s">
        <v>2276</v>
      </c>
      <c r="G1165">
        <v>21295</v>
      </c>
      <c r="I1165" t="s">
        <v>14</v>
      </c>
    </row>
    <row r="1166" spans="1:9">
      <c r="A1166" t="s">
        <v>9</v>
      </c>
      <c r="B1166" t="s">
        <v>10</v>
      </c>
      <c r="C1166">
        <v>65</v>
      </c>
      <c r="D1166" t="s">
        <v>11</v>
      </c>
      <c r="E1166" t="s">
        <v>2277</v>
      </c>
      <c r="F1166" t="s">
        <v>2277</v>
      </c>
      <c r="G1166">
        <v>10250</v>
      </c>
      <c r="I1166" t="s">
        <v>14</v>
      </c>
    </row>
    <row r="1167" spans="1:9">
      <c r="A1167" t="s">
        <v>9</v>
      </c>
      <c r="B1167" t="s">
        <v>10</v>
      </c>
      <c r="C1167">
        <v>65</v>
      </c>
      <c r="D1167" t="s">
        <v>11</v>
      </c>
      <c r="E1167" t="s">
        <v>2278</v>
      </c>
      <c r="F1167" t="s">
        <v>2278</v>
      </c>
      <c r="G1167">
        <v>18134</v>
      </c>
      <c r="I1167" t="s">
        <v>14</v>
      </c>
    </row>
    <row r="1168" spans="1:9">
      <c r="A1168" t="s">
        <v>9</v>
      </c>
      <c r="B1168" t="s">
        <v>10</v>
      </c>
      <c r="C1168">
        <v>65</v>
      </c>
      <c r="D1168" t="s">
        <v>11</v>
      </c>
      <c r="E1168" t="s">
        <v>2279</v>
      </c>
      <c r="F1168" t="s">
        <v>2279</v>
      </c>
      <c r="G1168">
        <v>34987</v>
      </c>
      <c r="I1168" t="s">
        <v>14</v>
      </c>
    </row>
    <row r="1169" spans="1:9">
      <c r="A1169" t="s">
        <v>9</v>
      </c>
      <c r="B1169" t="s">
        <v>10</v>
      </c>
      <c r="C1169">
        <v>65</v>
      </c>
      <c r="D1169" t="s">
        <v>11</v>
      </c>
      <c r="E1169" t="s">
        <v>2280</v>
      </c>
      <c r="F1169" t="s">
        <v>2280</v>
      </c>
      <c r="G1169">
        <v>202111</v>
      </c>
      <c r="I1169" t="s">
        <v>14</v>
      </c>
    </row>
    <row r="1170" spans="1:9">
      <c r="A1170" t="s">
        <v>9</v>
      </c>
      <c r="B1170" t="s">
        <v>10</v>
      </c>
      <c r="C1170">
        <v>65</v>
      </c>
      <c r="D1170" t="s">
        <v>11</v>
      </c>
      <c r="E1170" t="s">
        <v>2281</v>
      </c>
      <c r="F1170" t="s">
        <v>2281</v>
      </c>
      <c r="G1170">
        <v>358314</v>
      </c>
      <c r="I1170" t="s">
        <v>14</v>
      </c>
    </row>
    <row r="1171" spans="1:9">
      <c r="A1171" t="s">
        <v>9</v>
      </c>
      <c r="B1171" t="s">
        <v>10</v>
      </c>
      <c r="C1171">
        <v>65</v>
      </c>
      <c r="D1171" t="s">
        <v>11</v>
      </c>
      <c r="E1171" t="s">
        <v>2282</v>
      </c>
      <c r="F1171" t="s">
        <v>2282</v>
      </c>
      <c r="G1171">
        <v>353689</v>
      </c>
      <c r="I1171" t="s">
        <v>14</v>
      </c>
    </row>
    <row r="1172" spans="1:9">
      <c r="A1172" t="s">
        <v>9</v>
      </c>
      <c r="B1172" t="s">
        <v>10</v>
      </c>
      <c r="C1172">
        <v>65</v>
      </c>
      <c r="D1172" t="s">
        <v>11</v>
      </c>
      <c r="E1172" t="s">
        <v>2283</v>
      </c>
      <c r="F1172" t="s">
        <v>2283</v>
      </c>
      <c r="G1172">
        <v>351279</v>
      </c>
      <c r="I1172" t="s">
        <v>14</v>
      </c>
    </row>
    <row r="1173" spans="1:9">
      <c r="A1173" t="s">
        <v>9</v>
      </c>
      <c r="B1173" t="s">
        <v>10</v>
      </c>
      <c r="C1173">
        <v>65</v>
      </c>
      <c r="D1173" t="s">
        <v>11</v>
      </c>
      <c r="E1173" t="s">
        <v>2284</v>
      </c>
      <c r="F1173" t="s">
        <v>2284</v>
      </c>
      <c r="G1173">
        <v>476635</v>
      </c>
      <c r="H1173" t="s">
        <v>2285</v>
      </c>
      <c r="I1173" t="s">
        <v>14</v>
      </c>
    </row>
    <row r="1174" spans="1:9">
      <c r="A1174" t="s">
        <v>9</v>
      </c>
      <c r="B1174" t="s">
        <v>10</v>
      </c>
      <c r="C1174">
        <v>65</v>
      </c>
      <c r="D1174" t="s">
        <v>11</v>
      </c>
      <c r="E1174" t="s">
        <v>2286</v>
      </c>
      <c r="F1174" t="s">
        <v>2286</v>
      </c>
      <c r="G1174">
        <v>854947</v>
      </c>
      <c r="H1174" t="s">
        <v>2285</v>
      </c>
      <c r="I1174" t="s">
        <v>14</v>
      </c>
    </row>
    <row r="1175" spans="1:9">
      <c r="A1175" t="s">
        <v>9</v>
      </c>
      <c r="B1175" t="s">
        <v>10</v>
      </c>
      <c r="C1175">
        <v>65</v>
      </c>
      <c r="D1175" t="s">
        <v>11</v>
      </c>
      <c r="E1175" t="s">
        <v>2287</v>
      </c>
      <c r="F1175" t="s">
        <v>2287</v>
      </c>
      <c r="G1175">
        <v>559117</v>
      </c>
      <c r="H1175" t="s">
        <v>2285</v>
      </c>
      <c r="I1175" t="s">
        <v>14</v>
      </c>
    </row>
    <row r="1176" spans="1:9">
      <c r="A1176" t="s">
        <v>9</v>
      </c>
      <c r="B1176" t="s">
        <v>10</v>
      </c>
      <c r="C1176">
        <v>65</v>
      </c>
      <c r="D1176" t="s">
        <v>11</v>
      </c>
      <c r="E1176" t="s">
        <v>2288</v>
      </c>
      <c r="F1176" t="s">
        <v>2288</v>
      </c>
      <c r="G1176">
        <v>83544</v>
      </c>
      <c r="H1176" t="s">
        <v>2285</v>
      </c>
      <c r="I1176" t="s">
        <v>14</v>
      </c>
    </row>
    <row r="1177" spans="1:9">
      <c r="A1177" t="s">
        <v>9</v>
      </c>
      <c r="B1177" t="s">
        <v>10</v>
      </c>
      <c r="C1177">
        <v>65</v>
      </c>
      <c r="D1177" t="s">
        <v>11</v>
      </c>
      <c r="E1177" t="s">
        <v>2289</v>
      </c>
      <c r="F1177" t="s">
        <v>2289</v>
      </c>
      <c r="G1177">
        <v>35323</v>
      </c>
      <c r="H1177" t="s">
        <v>2285</v>
      </c>
      <c r="I1177" t="s">
        <v>14</v>
      </c>
    </row>
    <row r="1178" spans="1:9">
      <c r="A1178" t="s">
        <v>9</v>
      </c>
      <c r="B1178" t="s">
        <v>10</v>
      </c>
      <c r="C1178">
        <v>65</v>
      </c>
      <c r="D1178" t="s">
        <v>11</v>
      </c>
      <c r="E1178" t="s">
        <v>2290</v>
      </c>
      <c r="F1178" t="s">
        <v>2290</v>
      </c>
      <c r="G1178">
        <v>20570</v>
      </c>
      <c r="H1178" t="s">
        <v>2285</v>
      </c>
      <c r="I1178" t="s">
        <v>14</v>
      </c>
    </row>
    <row r="1179" spans="1:9">
      <c r="A1179" t="s">
        <v>9</v>
      </c>
      <c r="B1179" t="s">
        <v>10</v>
      </c>
      <c r="C1179">
        <v>65</v>
      </c>
      <c r="D1179" t="s">
        <v>11</v>
      </c>
      <c r="E1179" t="s">
        <v>2291</v>
      </c>
      <c r="F1179" t="s">
        <v>2291</v>
      </c>
      <c r="G1179">
        <v>48462</v>
      </c>
      <c r="H1179" t="s">
        <v>2285</v>
      </c>
      <c r="I1179" t="s">
        <v>14</v>
      </c>
    </row>
    <row r="1180" spans="1:9">
      <c r="A1180" t="s">
        <v>9</v>
      </c>
      <c r="B1180" t="s">
        <v>10</v>
      </c>
      <c r="C1180">
        <v>65</v>
      </c>
      <c r="D1180" t="s">
        <v>11</v>
      </c>
      <c r="E1180" t="s">
        <v>2292</v>
      </c>
      <c r="F1180" t="s">
        <v>2292</v>
      </c>
      <c r="G1180">
        <v>67748</v>
      </c>
      <c r="H1180" t="s">
        <v>2285</v>
      </c>
      <c r="I1180" t="s">
        <v>14</v>
      </c>
    </row>
    <row r="1181" spans="1:9">
      <c r="A1181" t="s">
        <v>9</v>
      </c>
      <c r="B1181" t="s">
        <v>10</v>
      </c>
      <c r="C1181">
        <v>65</v>
      </c>
      <c r="D1181" t="s">
        <v>11</v>
      </c>
      <c r="E1181" t="s">
        <v>2293</v>
      </c>
      <c r="F1181" t="s">
        <v>2293</v>
      </c>
      <c r="G1181">
        <v>135958</v>
      </c>
      <c r="H1181" t="s">
        <v>2285</v>
      </c>
      <c r="I1181" t="s">
        <v>14</v>
      </c>
    </row>
    <row r="1182" spans="1:9">
      <c r="A1182" t="s">
        <v>9</v>
      </c>
      <c r="B1182" t="s">
        <v>10</v>
      </c>
      <c r="C1182">
        <v>65</v>
      </c>
      <c r="D1182" t="s">
        <v>11</v>
      </c>
      <c r="E1182" t="s">
        <v>2294</v>
      </c>
      <c r="F1182" t="s">
        <v>2294</v>
      </c>
      <c r="G1182">
        <v>252085</v>
      </c>
      <c r="H1182" t="s">
        <v>2285</v>
      </c>
      <c r="I1182" t="s">
        <v>14</v>
      </c>
    </row>
    <row r="1183" spans="1:9">
      <c r="A1183" t="s">
        <v>9</v>
      </c>
      <c r="B1183" t="s">
        <v>10</v>
      </c>
      <c r="C1183">
        <v>65</v>
      </c>
      <c r="D1183" t="s">
        <v>11</v>
      </c>
      <c r="E1183" t="s">
        <v>2295</v>
      </c>
      <c r="F1183" t="s">
        <v>2295</v>
      </c>
      <c r="G1183">
        <v>170848</v>
      </c>
      <c r="H1183" t="s">
        <v>2285</v>
      </c>
      <c r="I1183" t="s">
        <v>14</v>
      </c>
    </row>
    <row r="1184" spans="1:9">
      <c r="A1184" t="s">
        <v>9</v>
      </c>
      <c r="B1184" t="s">
        <v>10</v>
      </c>
      <c r="C1184">
        <v>65</v>
      </c>
      <c r="D1184" t="s">
        <v>11</v>
      </c>
      <c r="E1184" t="s">
        <v>2296</v>
      </c>
      <c r="F1184" t="s">
        <v>2296</v>
      </c>
      <c r="G1184">
        <v>261996</v>
      </c>
      <c r="H1184" t="s">
        <v>2285</v>
      </c>
      <c r="I1184" t="s">
        <v>14</v>
      </c>
    </row>
    <row r="1185" spans="1:9">
      <c r="A1185" t="s">
        <v>9</v>
      </c>
      <c r="B1185" t="s">
        <v>10</v>
      </c>
      <c r="C1185">
        <v>65</v>
      </c>
      <c r="D1185" t="s">
        <v>11</v>
      </c>
      <c r="E1185" t="s">
        <v>2297</v>
      </c>
      <c r="F1185" t="s">
        <v>2297</v>
      </c>
      <c r="G1185">
        <v>568878</v>
      </c>
      <c r="H1185" t="s">
        <v>2285</v>
      </c>
      <c r="I1185" t="s">
        <v>14</v>
      </c>
    </row>
    <row r="1186" spans="1:9">
      <c r="A1186" t="s">
        <v>9</v>
      </c>
      <c r="B1186" t="s">
        <v>10</v>
      </c>
      <c r="C1186">
        <v>65</v>
      </c>
      <c r="D1186" t="s">
        <v>11</v>
      </c>
      <c r="E1186" t="s">
        <v>2298</v>
      </c>
      <c r="F1186" t="s">
        <v>2298</v>
      </c>
      <c r="G1186">
        <v>436082</v>
      </c>
      <c r="H1186" t="s">
        <v>2285</v>
      </c>
      <c r="I1186" t="s">
        <v>14</v>
      </c>
    </row>
    <row r="1187" spans="1:9">
      <c r="A1187" t="s">
        <v>9</v>
      </c>
      <c r="B1187" t="s">
        <v>10</v>
      </c>
      <c r="C1187">
        <v>65</v>
      </c>
      <c r="D1187" t="s">
        <v>11</v>
      </c>
      <c r="E1187" t="s">
        <v>2299</v>
      </c>
      <c r="F1187" t="s">
        <v>2299</v>
      </c>
      <c r="G1187">
        <v>109393</v>
      </c>
      <c r="H1187" t="s">
        <v>2285</v>
      </c>
      <c r="I1187" t="s">
        <v>14</v>
      </c>
    </row>
    <row r="1188" spans="1:9">
      <c r="A1188" t="s">
        <v>9</v>
      </c>
      <c r="B1188" t="s">
        <v>10</v>
      </c>
      <c r="C1188">
        <v>65</v>
      </c>
      <c r="D1188" t="s">
        <v>11</v>
      </c>
      <c r="E1188" t="s">
        <v>2300</v>
      </c>
      <c r="F1188" t="s">
        <v>2300</v>
      </c>
      <c r="G1188">
        <v>35311</v>
      </c>
      <c r="H1188" t="s">
        <v>2285</v>
      </c>
      <c r="I1188" t="s">
        <v>14</v>
      </c>
    </row>
    <row r="1189" spans="1:9">
      <c r="A1189" t="s">
        <v>9</v>
      </c>
      <c r="B1189" t="s">
        <v>10</v>
      </c>
      <c r="C1189">
        <v>65</v>
      </c>
      <c r="D1189" t="s">
        <v>11</v>
      </c>
      <c r="E1189" t="s">
        <v>2301</v>
      </c>
      <c r="F1189" t="s">
        <v>2301</v>
      </c>
      <c r="G1189">
        <v>20075</v>
      </c>
      <c r="H1189" t="s">
        <v>2285</v>
      </c>
      <c r="I1189" t="s">
        <v>14</v>
      </c>
    </row>
    <row r="1190" spans="1:9">
      <c r="A1190" t="s">
        <v>9</v>
      </c>
      <c r="B1190" t="s">
        <v>10</v>
      </c>
      <c r="C1190">
        <v>65</v>
      </c>
      <c r="D1190" t="s">
        <v>11</v>
      </c>
      <c r="E1190" t="s">
        <v>2302</v>
      </c>
      <c r="F1190" t="s">
        <v>2302</v>
      </c>
      <c r="G1190">
        <v>11161</v>
      </c>
      <c r="H1190" t="s">
        <v>2285</v>
      </c>
      <c r="I1190" t="s">
        <v>14</v>
      </c>
    </row>
    <row r="1191" spans="1:9">
      <c r="A1191" t="s">
        <v>9</v>
      </c>
      <c r="B1191" t="s">
        <v>10</v>
      </c>
      <c r="C1191">
        <v>65</v>
      </c>
      <c r="D1191" t="s">
        <v>11</v>
      </c>
      <c r="E1191" t="s">
        <v>2303</v>
      </c>
      <c r="F1191" t="s">
        <v>2303</v>
      </c>
      <c r="G1191">
        <v>17090</v>
      </c>
      <c r="H1191" t="s">
        <v>2285</v>
      </c>
      <c r="I1191" t="s">
        <v>14</v>
      </c>
    </row>
    <row r="1192" spans="1:9">
      <c r="A1192" t="s">
        <v>9</v>
      </c>
      <c r="B1192" t="s">
        <v>10</v>
      </c>
      <c r="C1192">
        <v>65</v>
      </c>
      <c r="D1192" t="s">
        <v>11</v>
      </c>
      <c r="E1192" t="s">
        <v>2304</v>
      </c>
      <c r="F1192" t="s">
        <v>2304</v>
      </c>
      <c r="G1192">
        <v>10127</v>
      </c>
      <c r="H1192" t="s">
        <v>2285</v>
      </c>
      <c r="I1192" t="s">
        <v>14</v>
      </c>
    </row>
    <row r="1193" spans="1:9">
      <c r="A1193" t="s">
        <v>9</v>
      </c>
      <c r="B1193" t="s">
        <v>10</v>
      </c>
      <c r="C1193">
        <v>65</v>
      </c>
      <c r="D1193" t="s">
        <v>11</v>
      </c>
      <c r="E1193" t="s">
        <v>2305</v>
      </c>
      <c r="F1193" t="s">
        <v>2305</v>
      </c>
      <c r="G1193">
        <v>131569</v>
      </c>
      <c r="H1193" t="s">
        <v>2285</v>
      </c>
      <c r="I1193" t="s">
        <v>14</v>
      </c>
    </row>
    <row r="1194" spans="1:9">
      <c r="A1194" t="s">
        <v>9</v>
      </c>
      <c r="B1194" t="s">
        <v>10</v>
      </c>
      <c r="C1194">
        <v>65</v>
      </c>
      <c r="D1194" t="s">
        <v>11</v>
      </c>
      <c r="E1194" t="s">
        <v>2306</v>
      </c>
      <c r="F1194" t="s">
        <v>2306</v>
      </c>
      <c r="G1194">
        <v>276976</v>
      </c>
      <c r="H1194" t="s">
        <v>2285</v>
      </c>
      <c r="I1194" t="s">
        <v>14</v>
      </c>
    </row>
    <row r="1195" spans="1:9">
      <c r="A1195" t="s">
        <v>9</v>
      </c>
      <c r="B1195" t="s">
        <v>10</v>
      </c>
      <c r="C1195">
        <v>65</v>
      </c>
      <c r="D1195" t="s">
        <v>11</v>
      </c>
      <c r="E1195" t="s">
        <v>2307</v>
      </c>
      <c r="F1195" t="s">
        <v>2307</v>
      </c>
      <c r="G1195">
        <v>252878</v>
      </c>
      <c r="H1195" t="s">
        <v>2285</v>
      </c>
      <c r="I1195" t="s">
        <v>14</v>
      </c>
    </row>
    <row r="1196" spans="1:9">
      <c r="A1196" t="s">
        <v>9</v>
      </c>
      <c r="B1196" t="s">
        <v>10</v>
      </c>
      <c r="C1196">
        <v>65</v>
      </c>
      <c r="D1196" t="s">
        <v>11</v>
      </c>
      <c r="E1196" t="s">
        <v>2308</v>
      </c>
      <c r="F1196" t="s">
        <v>2308</v>
      </c>
      <c r="G1196">
        <v>334173</v>
      </c>
      <c r="H1196" t="s">
        <v>2285</v>
      </c>
      <c r="I1196" t="s">
        <v>14</v>
      </c>
    </row>
    <row r="1197" spans="1:9">
      <c r="A1197" t="s">
        <v>9</v>
      </c>
      <c r="B1197" t="s">
        <v>10</v>
      </c>
      <c r="C1197">
        <v>65</v>
      </c>
      <c r="D1197" t="s">
        <v>11</v>
      </c>
      <c r="E1197" t="s">
        <v>2309</v>
      </c>
      <c r="F1197" t="s">
        <v>2309</v>
      </c>
      <c r="G1197">
        <v>539373</v>
      </c>
      <c r="H1197" t="s">
        <v>2285</v>
      </c>
      <c r="I1197" t="s">
        <v>14</v>
      </c>
    </row>
    <row r="1198" spans="1:9">
      <c r="A1198" t="s">
        <v>9</v>
      </c>
      <c r="B1198" t="s">
        <v>10</v>
      </c>
      <c r="C1198">
        <v>65</v>
      </c>
      <c r="D1198" t="s">
        <v>11</v>
      </c>
      <c r="E1198" t="s">
        <v>2310</v>
      </c>
      <c r="F1198" t="s">
        <v>2310</v>
      </c>
      <c r="G1198">
        <v>321669</v>
      </c>
      <c r="H1198" t="s">
        <v>2285</v>
      </c>
      <c r="I1198" t="s">
        <v>14</v>
      </c>
    </row>
    <row r="1199" spans="1:9">
      <c r="A1199" t="s">
        <v>9</v>
      </c>
      <c r="B1199" t="s">
        <v>10</v>
      </c>
      <c r="C1199">
        <v>65</v>
      </c>
      <c r="D1199" t="s">
        <v>11</v>
      </c>
      <c r="E1199" t="s">
        <v>2311</v>
      </c>
      <c r="F1199" t="s">
        <v>2311</v>
      </c>
      <c r="G1199">
        <v>70378</v>
      </c>
      <c r="H1199" t="s">
        <v>2285</v>
      </c>
      <c r="I1199" t="s">
        <v>14</v>
      </c>
    </row>
    <row r="1200" spans="1:9">
      <c r="A1200" t="s">
        <v>9</v>
      </c>
      <c r="B1200" t="s">
        <v>10</v>
      </c>
      <c r="C1200">
        <v>65</v>
      </c>
      <c r="D1200" t="s">
        <v>11</v>
      </c>
      <c r="E1200" t="s">
        <v>2312</v>
      </c>
      <c r="F1200" t="s">
        <v>2312</v>
      </c>
      <c r="G1200">
        <v>35487</v>
      </c>
      <c r="H1200" t="s">
        <v>2285</v>
      </c>
      <c r="I1200" t="s">
        <v>14</v>
      </c>
    </row>
    <row r="1201" spans="1:9">
      <c r="A1201" t="s">
        <v>9</v>
      </c>
      <c r="B1201" t="s">
        <v>10</v>
      </c>
      <c r="C1201">
        <v>65</v>
      </c>
      <c r="D1201" t="s">
        <v>11</v>
      </c>
      <c r="E1201" t="s">
        <v>2313</v>
      </c>
      <c r="F1201" t="s">
        <v>2313</v>
      </c>
      <c r="G1201">
        <v>18367</v>
      </c>
      <c r="H1201" t="s">
        <v>2285</v>
      </c>
      <c r="I1201" t="s">
        <v>14</v>
      </c>
    </row>
    <row r="1202" spans="1:9">
      <c r="A1202" t="s">
        <v>9</v>
      </c>
      <c r="B1202" t="s">
        <v>10</v>
      </c>
      <c r="C1202">
        <v>65</v>
      </c>
      <c r="D1202" t="s">
        <v>11</v>
      </c>
      <c r="E1202" t="s">
        <v>2314</v>
      </c>
      <c r="F1202" t="s">
        <v>2314</v>
      </c>
      <c r="G1202">
        <v>17018</v>
      </c>
      <c r="H1202" t="s">
        <v>2285</v>
      </c>
      <c r="I1202" t="s">
        <v>14</v>
      </c>
    </row>
    <row r="1203" spans="1:9">
      <c r="A1203" t="s">
        <v>9</v>
      </c>
      <c r="B1203" t="s">
        <v>10</v>
      </c>
      <c r="C1203">
        <v>65</v>
      </c>
      <c r="D1203" t="s">
        <v>11</v>
      </c>
      <c r="E1203" t="s">
        <v>2315</v>
      </c>
      <c r="F1203" t="s">
        <v>2315</v>
      </c>
      <c r="G1203">
        <v>16770</v>
      </c>
      <c r="H1203" t="s">
        <v>2285</v>
      </c>
      <c r="I1203" t="s">
        <v>14</v>
      </c>
    </row>
    <row r="1204" spans="1:9">
      <c r="A1204" t="s">
        <v>9</v>
      </c>
      <c r="B1204" t="s">
        <v>10</v>
      </c>
      <c r="C1204">
        <v>65</v>
      </c>
      <c r="D1204" t="s">
        <v>11</v>
      </c>
      <c r="E1204" t="s">
        <v>2316</v>
      </c>
      <c r="F1204" t="s">
        <v>2316</v>
      </c>
      <c r="G1204">
        <v>22159</v>
      </c>
      <c r="H1204" t="s">
        <v>2285</v>
      </c>
      <c r="I1204" t="s">
        <v>14</v>
      </c>
    </row>
    <row r="1205" spans="1:9">
      <c r="A1205" t="s">
        <v>9</v>
      </c>
      <c r="B1205" t="s">
        <v>10</v>
      </c>
      <c r="C1205">
        <v>65</v>
      </c>
      <c r="D1205" t="s">
        <v>11</v>
      </c>
      <c r="E1205" t="s">
        <v>2317</v>
      </c>
      <c r="F1205" t="s">
        <v>2317</v>
      </c>
      <c r="G1205">
        <v>31936</v>
      </c>
      <c r="H1205" t="s">
        <v>2285</v>
      </c>
      <c r="I1205" t="s">
        <v>14</v>
      </c>
    </row>
    <row r="1206" spans="1:9">
      <c r="A1206" t="s">
        <v>9</v>
      </c>
      <c r="B1206" t="s">
        <v>10</v>
      </c>
      <c r="C1206">
        <v>65</v>
      </c>
      <c r="D1206" t="s">
        <v>11</v>
      </c>
      <c r="E1206" t="s">
        <v>2318</v>
      </c>
      <c r="F1206" t="s">
        <v>2318</v>
      </c>
      <c r="G1206">
        <v>59944</v>
      </c>
      <c r="H1206" t="s">
        <v>2285</v>
      </c>
      <c r="I1206" t="s">
        <v>14</v>
      </c>
    </row>
    <row r="1207" spans="1:9">
      <c r="A1207" t="s">
        <v>9</v>
      </c>
      <c r="B1207" t="s">
        <v>10</v>
      </c>
      <c r="C1207">
        <v>65</v>
      </c>
      <c r="D1207" t="s">
        <v>11</v>
      </c>
      <c r="E1207" t="s">
        <v>2319</v>
      </c>
      <c r="F1207" t="s">
        <v>2319</v>
      </c>
      <c r="G1207">
        <v>179254</v>
      </c>
      <c r="H1207" t="s">
        <v>2285</v>
      </c>
      <c r="I1207" t="s">
        <v>14</v>
      </c>
    </row>
    <row r="1208" spans="1:9">
      <c r="A1208" t="s">
        <v>9</v>
      </c>
      <c r="B1208" t="s">
        <v>10</v>
      </c>
      <c r="C1208">
        <v>65</v>
      </c>
      <c r="D1208" t="s">
        <v>11</v>
      </c>
      <c r="E1208" t="s">
        <v>2320</v>
      </c>
      <c r="F1208" t="s">
        <v>2320</v>
      </c>
      <c r="G1208">
        <v>226866</v>
      </c>
      <c r="H1208" t="s">
        <v>2285</v>
      </c>
      <c r="I1208" t="s">
        <v>14</v>
      </c>
    </row>
    <row r="1209" spans="1:9">
      <c r="A1209" t="s">
        <v>9</v>
      </c>
      <c r="B1209" t="s">
        <v>10</v>
      </c>
      <c r="C1209">
        <v>65</v>
      </c>
      <c r="D1209" t="s">
        <v>11</v>
      </c>
      <c r="E1209" t="s">
        <v>2321</v>
      </c>
      <c r="F1209" t="s">
        <v>2321</v>
      </c>
      <c r="G1209">
        <v>407945</v>
      </c>
      <c r="H1209" t="s">
        <v>2285</v>
      </c>
      <c r="I1209" t="s">
        <v>14</v>
      </c>
    </row>
    <row r="1210" spans="1:9">
      <c r="A1210" t="s">
        <v>9</v>
      </c>
      <c r="B1210" t="s">
        <v>10</v>
      </c>
      <c r="C1210">
        <v>65</v>
      </c>
      <c r="D1210" t="s">
        <v>11</v>
      </c>
      <c r="E1210" t="s">
        <v>2322</v>
      </c>
      <c r="F1210" t="s">
        <v>2322</v>
      </c>
      <c r="G1210">
        <v>55237</v>
      </c>
      <c r="H1210" t="s">
        <v>2285</v>
      </c>
      <c r="I1210" t="s">
        <v>14</v>
      </c>
    </row>
    <row r="1211" spans="1:9">
      <c r="A1211" t="s">
        <v>9</v>
      </c>
      <c r="B1211" t="s">
        <v>10</v>
      </c>
      <c r="C1211">
        <v>65</v>
      </c>
      <c r="D1211" t="s">
        <v>11</v>
      </c>
      <c r="E1211" t="s">
        <v>2323</v>
      </c>
      <c r="F1211" t="s">
        <v>2323</v>
      </c>
      <c r="G1211">
        <v>12356</v>
      </c>
      <c r="H1211" t="s">
        <v>2285</v>
      </c>
      <c r="I1211" t="s">
        <v>14</v>
      </c>
    </row>
    <row r="1212" spans="1:9">
      <c r="A1212" t="s">
        <v>9</v>
      </c>
      <c r="B1212" t="s">
        <v>10</v>
      </c>
      <c r="C1212">
        <v>65</v>
      </c>
      <c r="D1212" t="s">
        <v>11</v>
      </c>
      <c r="E1212" t="s">
        <v>2324</v>
      </c>
      <c r="F1212" t="s">
        <v>2324</v>
      </c>
      <c r="G1212">
        <v>1840</v>
      </c>
      <c r="H1212" t="s">
        <v>2285</v>
      </c>
      <c r="I1212" t="s">
        <v>14</v>
      </c>
    </row>
    <row r="1213" spans="1:9">
      <c r="A1213" t="s">
        <v>9</v>
      </c>
      <c r="B1213" t="s">
        <v>10</v>
      </c>
      <c r="C1213">
        <v>65</v>
      </c>
      <c r="D1213" t="s">
        <v>11</v>
      </c>
      <c r="E1213" t="s">
        <v>2325</v>
      </c>
      <c r="F1213" t="s">
        <v>2325</v>
      </c>
      <c r="G1213">
        <v>2299</v>
      </c>
      <c r="H1213" t="s">
        <v>2285</v>
      </c>
      <c r="I1213" t="s">
        <v>14</v>
      </c>
    </row>
    <row r="1214" spans="1:9">
      <c r="A1214" t="s">
        <v>9</v>
      </c>
      <c r="B1214" t="s">
        <v>10</v>
      </c>
      <c r="C1214">
        <v>65</v>
      </c>
      <c r="D1214" t="s">
        <v>11</v>
      </c>
      <c r="E1214" t="s">
        <v>2326</v>
      </c>
      <c r="F1214" t="s">
        <v>2326</v>
      </c>
      <c r="G1214">
        <v>4022</v>
      </c>
      <c r="H1214" t="s">
        <v>2285</v>
      </c>
      <c r="I1214" t="s">
        <v>14</v>
      </c>
    </row>
    <row r="1215" spans="1:9">
      <c r="A1215" t="s">
        <v>9</v>
      </c>
      <c r="B1215" t="s">
        <v>10</v>
      </c>
      <c r="C1215">
        <v>65</v>
      </c>
      <c r="D1215" t="s">
        <v>11</v>
      </c>
      <c r="E1215" t="s">
        <v>2327</v>
      </c>
      <c r="F1215" t="s">
        <v>2327</v>
      </c>
      <c r="G1215">
        <v>39604</v>
      </c>
      <c r="H1215" t="s">
        <v>2285</v>
      </c>
      <c r="I1215" t="s">
        <v>14</v>
      </c>
    </row>
    <row r="1216" spans="1:9">
      <c r="A1216" t="s">
        <v>9</v>
      </c>
      <c r="B1216" t="s">
        <v>10</v>
      </c>
      <c r="C1216">
        <v>65</v>
      </c>
      <c r="D1216" t="s">
        <v>11</v>
      </c>
      <c r="E1216" t="s">
        <v>2328</v>
      </c>
      <c r="F1216" t="s">
        <v>2328</v>
      </c>
      <c r="G1216">
        <v>93123</v>
      </c>
      <c r="H1216" t="s">
        <v>2285</v>
      </c>
      <c r="I1216" t="s">
        <v>14</v>
      </c>
    </row>
    <row r="1217" spans="1:9">
      <c r="A1217" t="s">
        <v>9</v>
      </c>
      <c r="B1217" t="s">
        <v>10</v>
      </c>
      <c r="C1217">
        <v>65</v>
      </c>
      <c r="D1217" t="s">
        <v>11</v>
      </c>
      <c r="E1217" t="s">
        <v>2329</v>
      </c>
      <c r="F1217" t="s">
        <v>2329</v>
      </c>
      <c r="G1217">
        <v>108717</v>
      </c>
      <c r="H1217" t="s">
        <v>2285</v>
      </c>
      <c r="I1217" t="s">
        <v>14</v>
      </c>
    </row>
    <row r="1218" spans="1:9">
      <c r="A1218" t="s">
        <v>9</v>
      </c>
      <c r="B1218" t="s">
        <v>10</v>
      </c>
      <c r="C1218">
        <v>65</v>
      </c>
      <c r="D1218" t="s">
        <v>11</v>
      </c>
      <c r="E1218" t="s">
        <v>2330</v>
      </c>
      <c r="F1218" t="s">
        <v>2330</v>
      </c>
      <c r="G1218">
        <v>79476</v>
      </c>
      <c r="H1218" t="s">
        <v>2285</v>
      </c>
      <c r="I1218" t="s">
        <v>14</v>
      </c>
    </row>
    <row r="1219" spans="1:9">
      <c r="A1219" t="s">
        <v>9</v>
      </c>
      <c r="B1219" t="s">
        <v>10</v>
      </c>
      <c r="C1219">
        <v>65</v>
      </c>
      <c r="D1219" t="s">
        <v>11</v>
      </c>
      <c r="E1219" t="s">
        <v>2331</v>
      </c>
      <c r="F1219" t="s">
        <v>2331</v>
      </c>
      <c r="G1219">
        <v>141421</v>
      </c>
      <c r="H1219" t="s">
        <v>2285</v>
      </c>
      <c r="I1219" t="s">
        <v>14</v>
      </c>
    </row>
    <row r="1220" spans="1:9">
      <c r="A1220" t="s">
        <v>9</v>
      </c>
      <c r="B1220" t="s">
        <v>10</v>
      </c>
      <c r="C1220">
        <v>65</v>
      </c>
      <c r="D1220" t="s">
        <v>11</v>
      </c>
      <c r="E1220" t="s">
        <v>2332</v>
      </c>
      <c r="F1220" t="s">
        <v>2332</v>
      </c>
      <c r="G1220">
        <v>301344</v>
      </c>
      <c r="H1220" t="s">
        <v>2285</v>
      </c>
      <c r="I1220" t="s">
        <v>14</v>
      </c>
    </row>
    <row r="1221" spans="1:9">
      <c r="A1221" t="s">
        <v>9</v>
      </c>
      <c r="B1221" t="s">
        <v>10</v>
      </c>
      <c r="C1221">
        <v>65</v>
      </c>
      <c r="D1221" t="s">
        <v>11</v>
      </c>
      <c r="E1221" t="s">
        <v>2333</v>
      </c>
      <c r="F1221" t="s">
        <v>2333</v>
      </c>
      <c r="G1221">
        <v>371721</v>
      </c>
      <c r="H1221" t="s">
        <v>2285</v>
      </c>
      <c r="I1221" t="s">
        <v>14</v>
      </c>
    </row>
    <row r="1222" spans="1:9">
      <c r="A1222" t="s">
        <v>9</v>
      </c>
      <c r="B1222" t="s">
        <v>10</v>
      </c>
      <c r="C1222">
        <v>65</v>
      </c>
      <c r="D1222" t="s">
        <v>11</v>
      </c>
      <c r="E1222" t="s">
        <v>2334</v>
      </c>
      <c r="F1222" t="s">
        <v>2334</v>
      </c>
      <c r="G1222">
        <v>223295</v>
      </c>
      <c r="H1222" t="s">
        <v>2285</v>
      </c>
      <c r="I1222" t="s">
        <v>14</v>
      </c>
    </row>
    <row r="1223" spans="1:9">
      <c r="A1223" t="s">
        <v>9</v>
      </c>
      <c r="B1223" t="s">
        <v>10</v>
      </c>
      <c r="C1223">
        <v>65</v>
      </c>
      <c r="D1223" t="s">
        <v>11</v>
      </c>
      <c r="E1223" t="s">
        <v>2335</v>
      </c>
      <c r="F1223" t="s">
        <v>2335</v>
      </c>
      <c r="G1223">
        <v>24307</v>
      </c>
      <c r="H1223" t="s">
        <v>2285</v>
      </c>
      <c r="I1223" t="s">
        <v>14</v>
      </c>
    </row>
    <row r="1224" spans="1:9">
      <c r="A1224" t="s">
        <v>9</v>
      </c>
      <c r="B1224" t="s">
        <v>10</v>
      </c>
      <c r="C1224">
        <v>65</v>
      </c>
      <c r="D1224" t="s">
        <v>11</v>
      </c>
      <c r="E1224" t="s">
        <v>2336</v>
      </c>
      <c r="F1224" t="s">
        <v>2336</v>
      </c>
      <c r="G1224">
        <v>8268</v>
      </c>
      <c r="H1224" t="s">
        <v>2285</v>
      </c>
      <c r="I1224" t="s">
        <v>14</v>
      </c>
    </row>
    <row r="1225" spans="1:9">
      <c r="A1225" t="s">
        <v>9</v>
      </c>
      <c r="B1225" t="s">
        <v>10</v>
      </c>
      <c r="C1225">
        <v>65</v>
      </c>
      <c r="D1225" t="s">
        <v>11</v>
      </c>
      <c r="E1225" t="s">
        <v>2337</v>
      </c>
      <c r="F1225" t="s">
        <v>2337</v>
      </c>
      <c r="G1225">
        <v>6172</v>
      </c>
      <c r="H1225" t="s">
        <v>2285</v>
      </c>
      <c r="I1225" t="s">
        <v>14</v>
      </c>
    </row>
    <row r="1226" spans="1:9">
      <c r="A1226" t="s">
        <v>9</v>
      </c>
      <c r="B1226" t="s">
        <v>10</v>
      </c>
      <c r="C1226">
        <v>65</v>
      </c>
      <c r="D1226" t="s">
        <v>11</v>
      </c>
      <c r="E1226" t="s">
        <v>2338</v>
      </c>
      <c r="F1226" t="s">
        <v>2338</v>
      </c>
      <c r="G1226">
        <v>28</v>
      </c>
      <c r="H1226" t="s">
        <v>2285</v>
      </c>
      <c r="I1226" t="s">
        <v>14</v>
      </c>
    </row>
    <row r="1227" spans="1:9">
      <c r="A1227" t="s">
        <v>9</v>
      </c>
      <c r="B1227" t="s">
        <v>10</v>
      </c>
      <c r="C1227">
        <v>65</v>
      </c>
      <c r="D1227" t="s">
        <v>11</v>
      </c>
      <c r="E1227" t="s">
        <v>2339</v>
      </c>
      <c r="F1227" t="s">
        <v>2339</v>
      </c>
      <c r="G1227">
        <v>68924</v>
      </c>
      <c r="H1227" t="s">
        <v>2285</v>
      </c>
      <c r="I1227" t="s">
        <v>14</v>
      </c>
    </row>
    <row r="1228" spans="1:9">
      <c r="A1228" t="s">
        <v>9</v>
      </c>
      <c r="B1228" t="s">
        <v>10</v>
      </c>
      <c r="C1228">
        <v>65</v>
      </c>
      <c r="D1228" t="s">
        <v>11</v>
      </c>
      <c r="E1228" t="s">
        <v>2340</v>
      </c>
      <c r="F1228" t="s">
        <v>2340</v>
      </c>
      <c r="G1228">
        <v>69119</v>
      </c>
      <c r="H1228" t="s">
        <v>2285</v>
      </c>
      <c r="I1228" t="s">
        <v>14</v>
      </c>
    </row>
    <row r="1229" spans="1:9">
      <c r="A1229" t="s">
        <v>9</v>
      </c>
      <c r="B1229" t="s">
        <v>10</v>
      </c>
      <c r="C1229">
        <v>65</v>
      </c>
      <c r="D1229" t="s">
        <v>11</v>
      </c>
      <c r="E1229" t="s">
        <v>2341</v>
      </c>
      <c r="F1229" t="s">
        <v>2341</v>
      </c>
      <c r="G1229">
        <v>89266</v>
      </c>
      <c r="H1229" t="s">
        <v>2285</v>
      </c>
      <c r="I1229" t="s">
        <v>14</v>
      </c>
    </row>
    <row r="1230" spans="1:9">
      <c r="A1230" t="s">
        <v>9</v>
      </c>
      <c r="B1230" t="s">
        <v>10</v>
      </c>
      <c r="C1230">
        <v>65</v>
      </c>
      <c r="D1230" t="s">
        <v>11</v>
      </c>
      <c r="E1230" t="s">
        <v>2342</v>
      </c>
      <c r="F1230" t="s">
        <v>2342</v>
      </c>
      <c r="G1230">
        <v>64967</v>
      </c>
      <c r="H1230" t="s">
        <v>2285</v>
      </c>
      <c r="I1230" t="s">
        <v>14</v>
      </c>
    </row>
    <row r="1231" spans="1:9">
      <c r="A1231" t="s">
        <v>9</v>
      </c>
      <c r="B1231" t="s">
        <v>10</v>
      </c>
      <c r="C1231">
        <v>65</v>
      </c>
      <c r="D1231" t="s">
        <v>11</v>
      </c>
      <c r="E1231" t="s">
        <v>2343</v>
      </c>
      <c r="F1231" t="s">
        <v>2343</v>
      </c>
      <c r="G1231">
        <v>123601</v>
      </c>
      <c r="H1231" t="s">
        <v>2285</v>
      </c>
      <c r="I1231" t="s">
        <v>14</v>
      </c>
    </row>
    <row r="1232" spans="1:9">
      <c r="A1232" t="s">
        <v>9</v>
      </c>
      <c r="B1232" t="s">
        <v>10</v>
      </c>
      <c r="C1232">
        <v>65</v>
      </c>
      <c r="D1232" t="s">
        <v>11</v>
      </c>
      <c r="E1232" t="s">
        <v>2344</v>
      </c>
      <c r="F1232" t="s">
        <v>2344</v>
      </c>
      <c r="G1232">
        <v>218261</v>
      </c>
      <c r="H1232" t="s">
        <v>2285</v>
      </c>
      <c r="I1232" t="s">
        <v>14</v>
      </c>
    </row>
    <row r="1233" spans="1:9">
      <c r="A1233" t="s">
        <v>9</v>
      </c>
      <c r="B1233" t="s">
        <v>10</v>
      </c>
      <c r="C1233">
        <v>65</v>
      </c>
      <c r="D1233" t="s">
        <v>11</v>
      </c>
      <c r="E1233" t="s">
        <v>2345</v>
      </c>
      <c r="F1233" t="s">
        <v>2345</v>
      </c>
      <c r="G1233">
        <v>520406</v>
      </c>
      <c r="H1233" t="s">
        <v>2285</v>
      </c>
      <c r="I1233" t="s">
        <v>14</v>
      </c>
    </row>
    <row r="1234" spans="1:9">
      <c r="A1234" t="s">
        <v>9</v>
      </c>
      <c r="B1234" t="s">
        <v>10</v>
      </c>
      <c r="C1234">
        <v>65</v>
      </c>
      <c r="D1234" t="s">
        <v>11</v>
      </c>
      <c r="E1234" t="s">
        <v>2346</v>
      </c>
      <c r="F1234" t="s">
        <v>2346</v>
      </c>
      <c r="G1234">
        <v>372393</v>
      </c>
      <c r="H1234" t="s">
        <v>2285</v>
      </c>
      <c r="I1234" t="s">
        <v>14</v>
      </c>
    </row>
    <row r="1235" spans="1:9">
      <c r="A1235" t="s">
        <v>9</v>
      </c>
      <c r="B1235" t="s">
        <v>10</v>
      </c>
      <c r="C1235">
        <v>65</v>
      </c>
      <c r="D1235" t="s">
        <v>11</v>
      </c>
      <c r="E1235" t="s">
        <v>2347</v>
      </c>
      <c r="F1235" t="s">
        <v>2347</v>
      </c>
      <c r="G1235">
        <v>55418</v>
      </c>
      <c r="H1235" t="s">
        <v>2285</v>
      </c>
      <c r="I1235" t="s">
        <v>14</v>
      </c>
    </row>
    <row r="1236" spans="1:9">
      <c r="A1236" t="s">
        <v>9</v>
      </c>
      <c r="B1236" t="s">
        <v>10</v>
      </c>
      <c r="C1236">
        <v>65</v>
      </c>
      <c r="D1236" t="s">
        <v>11</v>
      </c>
      <c r="E1236" t="s">
        <v>2348</v>
      </c>
      <c r="F1236" t="s">
        <v>2348</v>
      </c>
      <c r="G1236">
        <v>29801</v>
      </c>
      <c r="H1236" t="s">
        <v>2285</v>
      </c>
      <c r="I1236" t="s">
        <v>14</v>
      </c>
    </row>
    <row r="1237" spans="1:9">
      <c r="A1237" t="s">
        <v>9</v>
      </c>
      <c r="B1237" t="s">
        <v>10</v>
      </c>
      <c r="C1237">
        <v>65</v>
      </c>
      <c r="D1237" t="s">
        <v>11</v>
      </c>
      <c r="E1237" t="s">
        <v>2349</v>
      </c>
      <c r="F1237" t="s">
        <v>2349</v>
      </c>
      <c r="G1237">
        <v>14910</v>
      </c>
      <c r="H1237" t="s">
        <v>2285</v>
      </c>
      <c r="I1237" t="s">
        <v>14</v>
      </c>
    </row>
    <row r="1238" spans="1:9">
      <c r="A1238" t="s">
        <v>9</v>
      </c>
      <c r="B1238" t="s">
        <v>10</v>
      </c>
      <c r="C1238">
        <v>65</v>
      </c>
      <c r="D1238" t="s">
        <v>11</v>
      </c>
      <c r="E1238" t="s">
        <v>2350</v>
      </c>
      <c r="F1238" t="s">
        <v>2350</v>
      </c>
      <c r="G1238">
        <v>5290</v>
      </c>
      <c r="H1238" t="s">
        <v>2351</v>
      </c>
      <c r="I1238" t="s">
        <v>14</v>
      </c>
    </row>
    <row r="1239" spans="1:9">
      <c r="A1239" t="s">
        <v>9</v>
      </c>
      <c r="B1239" t="s">
        <v>10</v>
      </c>
      <c r="C1239">
        <v>65</v>
      </c>
      <c r="D1239" t="s">
        <v>11</v>
      </c>
      <c r="E1239" t="s">
        <v>2352</v>
      </c>
      <c r="F1239" t="s">
        <v>2352</v>
      </c>
      <c r="G1239">
        <v>13433</v>
      </c>
      <c r="H1239" t="s">
        <v>2285</v>
      </c>
      <c r="I1239" t="s">
        <v>14</v>
      </c>
    </row>
    <row r="1240" spans="1:9">
      <c r="A1240" t="s">
        <v>9</v>
      </c>
      <c r="B1240" t="s">
        <v>10</v>
      </c>
      <c r="C1240">
        <v>65</v>
      </c>
      <c r="D1240" t="s">
        <v>11</v>
      </c>
      <c r="E1240" t="s">
        <v>2353</v>
      </c>
      <c r="F1240" t="s">
        <v>2353</v>
      </c>
      <c r="G1240">
        <v>81967</v>
      </c>
      <c r="H1240" t="s">
        <v>2285</v>
      </c>
      <c r="I1240" t="s">
        <v>14</v>
      </c>
    </row>
    <row r="1241" spans="1:9">
      <c r="A1241" t="s">
        <v>9</v>
      </c>
      <c r="B1241" t="s">
        <v>10</v>
      </c>
      <c r="C1241">
        <v>65</v>
      </c>
      <c r="D1241" t="s">
        <v>11</v>
      </c>
      <c r="E1241" t="s">
        <v>2354</v>
      </c>
      <c r="F1241" t="s">
        <v>2354</v>
      </c>
      <c r="G1241">
        <v>70412</v>
      </c>
      <c r="H1241" t="s">
        <v>2285</v>
      </c>
      <c r="I1241" t="s">
        <v>14</v>
      </c>
    </row>
    <row r="1242" spans="1:9">
      <c r="A1242" t="s">
        <v>9</v>
      </c>
      <c r="B1242" t="s">
        <v>10</v>
      </c>
      <c r="C1242">
        <v>65</v>
      </c>
      <c r="D1242" t="s">
        <v>11</v>
      </c>
      <c r="E1242" t="s">
        <v>2355</v>
      </c>
      <c r="F1242" t="s">
        <v>2355</v>
      </c>
      <c r="G1242">
        <v>109926</v>
      </c>
      <c r="H1242" t="s">
        <v>2285</v>
      </c>
      <c r="I1242" t="s">
        <v>14</v>
      </c>
    </row>
    <row r="1243" spans="1:9">
      <c r="A1243" t="s">
        <v>9</v>
      </c>
      <c r="B1243" t="s">
        <v>10</v>
      </c>
      <c r="C1243">
        <v>65</v>
      </c>
      <c r="D1243" t="s">
        <v>11</v>
      </c>
      <c r="E1243" t="s">
        <v>2356</v>
      </c>
      <c r="F1243" t="s">
        <v>2356</v>
      </c>
      <c r="G1243">
        <v>256982</v>
      </c>
      <c r="H1243" t="s">
        <v>2285</v>
      </c>
      <c r="I1243" t="s">
        <v>14</v>
      </c>
    </row>
    <row r="1244" spans="1:9">
      <c r="A1244" t="s">
        <v>9</v>
      </c>
      <c r="B1244" t="s">
        <v>10</v>
      </c>
      <c r="C1244">
        <v>65</v>
      </c>
      <c r="D1244" t="s">
        <v>11</v>
      </c>
      <c r="E1244" t="s">
        <v>2357</v>
      </c>
      <c r="F1244" t="s">
        <v>2357</v>
      </c>
      <c r="G1244">
        <v>264345</v>
      </c>
      <c r="H1244" t="s">
        <v>2285</v>
      </c>
      <c r="I1244" t="s">
        <v>14</v>
      </c>
    </row>
    <row r="1245" spans="1:9">
      <c r="A1245" t="s">
        <v>9</v>
      </c>
      <c r="B1245" t="s">
        <v>10</v>
      </c>
      <c r="C1245">
        <v>65</v>
      </c>
      <c r="D1245" t="s">
        <v>11</v>
      </c>
      <c r="E1245" t="s">
        <v>2358</v>
      </c>
      <c r="F1245" t="s">
        <v>2358</v>
      </c>
      <c r="G1245">
        <v>317855</v>
      </c>
      <c r="H1245" t="s">
        <v>2351</v>
      </c>
      <c r="I1245" t="s">
        <v>14</v>
      </c>
    </row>
    <row r="1246" spans="1:9">
      <c r="A1246" t="s">
        <v>9</v>
      </c>
      <c r="B1246" t="s">
        <v>10</v>
      </c>
      <c r="C1246">
        <v>65</v>
      </c>
      <c r="D1246" t="s">
        <v>11</v>
      </c>
      <c r="E1246" t="s">
        <v>2359</v>
      </c>
      <c r="F1246" t="s">
        <v>2359</v>
      </c>
      <c r="G1246">
        <v>147694</v>
      </c>
      <c r="H1246" t="s">
        <v>2285</v>
      </c>
      <c r="I1246" t="s">
        <v>14</v>
      </c>
    </row>
    <row r="1247" spans="1:9">
      <c r="A1247" t="s">
        <v>9</v>
      </c>
      <c r="B1247" t="s">
        <v>10</v>
      </c>
      <c r="C1247">
        <v>65</v>
      </c>
      <c r="D1247" t="s">
        <v>11</v>
      </c>
      <c r="E1247" t="s">
        <v>2360</v>
      </c>
      <c r="F1247" t="s">
        <v>2360</v>
      </c>
      <c r="G1247">
        <v>32660</v>
      </c>
      <c r="H1247" t="s">
        <v>2285</v>
      </c>
      <c r="I1247" t="s">
        <v>14</v>
      </c>
    </row>
    <row r="1248" spans="1:9">
      <c r="A1248" t="s">
        <v>9</v>
      </c>
      <c r="B1248" t="s">
        <v>10</v>
      </c>
      <c r="C1248">
        <v>65</v>
      </c>
      <c r="D1248" t="s">
        <v>11</v>
      </c>
      <c r="E1248" t="s">
        <v>2361</v>
      </c>
      <c r="F1248" t="s">
        <v>2361</v>
      </c>
      <c r="G1248">
        <v>13385</v>
      </c>
      <c r="H1248" t="s">
        <v>2285</v>
      </c>
      <c r="I1248" t="s">
        <v>14</v>
      </c>
    </row>
    <row r="1249" spans="1:9">
      <c r="A1249" t="s">
        <v>9</v>
      </c>
      <c r="B1249" t="s">
        <v>10</v>
      </c>
      <c r="C1249">
        <v>65</v>
      </c>
      <c r="D1249" t="s">
        <v>11</v>
      </c>
      <c r="E1249" t="s">
        <v>2362</v>
      </c>
      <c r="F1249" t="s">
        <v>2362</v>
      </c>
      <c r="G1249">
        <v>7174</v>
      </c>
      <c r="H1249" t="s">
        <v>2285</v>
      </c>
      <c r="I1249" t="s">
        <v>14</v>
      </c>
    </row>
    <row r="1250" spans="1:9">
      <c r="A1250" t="s">
        <v>9</v>
      </c>
      <c r="B1250" t="s">
        <v>10</v>
      </c>
      <c r="C1250">
        <v>65</v>
      </c>
      <c r="D1250" t="s">
        <v>11</v>
      </c>
      <c r="E1250" t="s">
        <v>2363</v>
      </c>
      <c r="F1250" t="s">
        <v>2363</v>
      </c>
      <c r="G1250">
        <v>53934</v>
      </c>
      <c r="H1250" t="s">
        <v>2351</v>
      </c>
      <c r="I1250" t="s">
        <v>14</v>
      </c>
    </row>
    <row r="1251" spans="1:9">
      <c r="A1251" t="s">
        <v>9</v>
      </c>
      <c r="B1251" t="s">
        <v>10</v>
      </c>
      <c r="C1251">
        <v>65</v>
      </c>
      <c r="D1251" t="s">
        <v>11</v>
      </c>
      <c r="E1251" t="s">
        <v>2364</v>
      </c>
      <c r="F1251" t="s">
        <v>2364</v>
      </c>
      <c r="G1251">
        <v>54559</v>
      </c>
      <c r="H1251" t="s">
        <v>2285</v>
      </c>
      <c r="I1251" t="s">
        <v>14</v>
      </c>
    </row>
    <row r="1252" spans="1:9">
      <c r="A1252" t="s">
        <v>9</v>
      </c>
      <c r="B1252" t="s">
        <v>10</v>
      </c>
      <c r="C1252">
        <v>65</v>
      </c>
      <c r="D1252" t="s">
        <v>11</v>
      </c>
      <c r="E1252" t="s">
        <v>2365</v>
      </c>
      <c r="F1252" t="s">
        <v>2365</v>
      </c>
      <c r="G1252">
        <v>71105</v>
      </c>
      <c r="H1252" t="s">
        <v>2351</v>
      </c>
      <c r="I1252" t="s">
        <v>14</v>
      </c>
    </row>
    <row r="1253" spans="1:9">
      <c r="A1253" t="s">
        <v>9</v>
      </c>
      <c r="B1253" t="s">
        <v>10</v>
      </c>
      <c r="C1253">
        <v>65</v>
      </c>
      <c r="D1253" t="s">
        <v>11</v>
      </c>
      <c r="E1253" t="s">
        <v>2366</v>
      </c>
      <c r="F1253" t="s">
        <v>2366</v>
      </c>
      <c r="G1253">
        <v>259683</v>
      </c>
      <c r="H1253" t="s">
        <v>2285</v>
      </c>
      <c r="I1253" t="s">
        <v>14</v>
      </c>
    </row>
    <row r="1254" spans="1:9">
      <c r="A1254" t="s">
        <v>9</v>
      </c>
      <c r="B1254" t="s">
        <v>10</v>
      </c>
      <c r="C1254">
        <v>65</v>
      </c>
      <c r="D1254" t="s">
        <v>11</v>
      </c>
      <c r="E1254" t="s">
        <v>2367</v>
      </c>
      <c r="F1254" t="s">
        <v>2367</v>
      </c>
      <c r="G1254">
        <v>192224</v>
      </c>
      <c r="H1254" t="s">
        <v>2285</v>
      </c>
      <c r="I1254" t="s">
        <v>14</v>
      </c>
    </row>
    <row r="1255" spans="1:9">
      <c r="A1255" t="s">
        <v>9</v>
      </c>
      <c r="B1255" t="s">
        <v>10</v>
      </c>
      <c r="C1255">
        <v>65</v>
      </c>
      <c r="D1255" t="s">
        <v>11</v>
      </c>
      <c r="E1255" t="s">
        <v>2368</v>
      </c>
      <c r="F1255" t="s">
        <v>2368</v>
      </c>
      <c r="G1255">
        <v>325003</v>
      </c>
      <c r="H1255" t="s">
        <v>2285</v>
      </c>
      <c r="I1255" t="s">
        <v>14</v>
      </c>
    </row>
    <row r="1256" spans="1:9">
      <c r="A1256" t="s">
        <v>9</v>
      </c>
      <c r="B1256" t="s">
        <v>10</v>
      </c>
      <c r="C1256">
        <v>65</v>
      </c>
      <c r="D1256" t="s">
        <v>11</v>
      </c>
      <c r="E1256" t="s">
        <v>2369</v>
      </c>
      <c r="F1256" t="s">
        <v>2369</v>
      </c>
      <c r="G1256">
        <v>305021</v>
      </c>
      <c r="I1256" t="s">
        <v>14</v>
      </c>
    </row>
    <row r="1257" spans="1:9">
      <c r="A1257" t="s">
        <v>9</v>
      </c>
      <c r="B1257" t="s">
        <v>10</v>
      </c>
      <c r="C1257">
        <v>65</v>
      </c>
      <c r="D1257" t="s">
        <v>11</v>
      </c>
      <c r="E1257" t="s">
        <v>2370</v>
      </c>
      <c r="F1257" t="s">
        <v>2370</v>
      </c>
      <c r="G1257">
        <v>836862</v>
      </c>
      <c r="H1257" t="s">
        <v>2285</v>
      </c>
      <c r="I1257" t="s">
        <v>14</v>
      </c>
    </row>
    <row r="1258" spans="1:9">
      <c r="A1258" t="s">
        <v>9</v>
      </c>
      <c r="B1258" t="s">
        <v>10</v>
      </c>
      <c r="C1258">
        <v>65</v>
      </c>
      <c r="D1258" t="s">
        <v>11</v>
      </c>
      <c r="E1258" t="s">
        <v>2371</v>
      </c>
      <c r="F1258" t="s">
        <v>2371</v>
      </c>
      <c r="G1258">
        <v>588840</v>
      </c>
      <c r="H1258" t="s">
        <v>2285</v>
      </c>
      <c r="I1258" t="s">
        <v>14</v>
      </c>
    </row>
    <row r="1259" spans="1:9">
      <c r="A1259" t="s">
        <v>9</v>
      </c>
      <c r="B1259" t="s">
        <v>10</v>
      </c>
      <c r="C1259">
        <v>65</v>
      </c>
      <c r="D1259" t="s">
        <v>11</v>
      </c>
      <c r="E1259" t="s">
        <v>2372</v>
      </c>
      <c r="F1259" t="s">
        <v>2372</v>
      </c>
      <c r="G1259">
        <v>257935</v>
      </c>
      <c r="H1259" t="s">
        <v>2285</v>
      </c>
      <c r="I1259" t="s">
        <v>14</v>
      </c>
    </row>
    <row r="1260" spans="1:9">
      <c r="A1260" t="s">
        <v>9</v>
      </c>
      <c r="B1260" t="s">
        <v>10</v>
      </c>
      <c r="C1260">
        <v>65</v>
      </c>
      <c r="D1260" t="s">
        <v>11</v>
      </c>
      <c r="E1260" t="s">
        <v>2373</v>
      </c>
      <c r="F1260" t="s">
        <v>2373</v>
      </c>
      <c r="G1260">
        <v>39897</v>
      </c>
      <c r="H1260" t="s">
        <v>2285</v>
      </c>
      <c r="I1260" t="s">
        <v>14</v>
      </c>
    </row>
    <row r="1261" spans="1:9">
      <c r="A1261" t="s">
        <v>9</v>
      </c>
      <c r="B1261" t="s">
        <v>10</v>
      </c>
      <c r="C1261">
        <v>65</v>
      </c>
      <c r="D1261" t="s">
        <v>11</v>
      </c>
      <c r="E1261" t="s">
        <v>2374</v>
      </c>
      <c r="F1261" t="s">
        <v>2374</v>
      </c>
      <c r="G1261">
        <v>20893</v>
      </c>
      <c r="H1261" t="s">
        <v>2285</v>
      </c>
      <c r="I1261" t="s">
        <v>14</v>
      </c>
    </row>
    <row r="1262" spans="1:9">
      <c r="A1262" t="s">
        <v>9</v>
      </c>
      <c r="B1262" t="s">
        <v>10</v>
      </c>
      <c r="C1262">
        <v>65</v>
      </c>
      <c r="D1262" t="s">
        <v>11</v>
      </c>
      <c r="E1262" t="s">
        <v>2375</v>
      </c>
      <c r="F1262" t="s">
        <v>2375</v>
      </c>
      <c r="G1262">
        <v>14682</v>
      </c>
      <c r="H1262" t="s">
        <v>2351</v>
      </c>
      <c r="I1262" t="s">
        <v>14</v>
      </c>
    </row>
    <row r="1263" spans="1:9">
      <c r="A1263" t="s">
        <v>9</v>
      </c>
      <c r="B1263" t="s">
        <v>10</v>
      </c>
      <c r="C1263">
        <v>65</v>
      </c>
      <c r="D1263" t="s">
        <v>11</v>
      </c>
      <c r="E1263" t="s">
        <v>2376</v>
      </c>
      <c r="F1263" t="s">
        <v>2376</v>
      </c>
      <c r="G1263">
        <v>16323</v>
      </c>
      <c r="H1263" t="s">
        <v>2285</v>
      </c>
      <c r="I1263" t="s">
        <v>14</v>
      </c>
    </row>
    <row r="1264" spans="1:9">
      <c r="A1264" t="s">
        <v>9</v>
      </c>
      <c r="B1264" t="s">
        <v>10</v>
      </c>
      <c r="C1264">
        <v>65</v>
      </c>
      <c r="D1264" t="s">
        <v>11</v>
      </c>
      <c r="E1264" t="s">
        <v>2377</v>
      </c>
      <c r="F1264" t="s">
        <v>2377</v>
      </c>
      <c r="G1264">
        <v>248395</v>
      </c>
      <c r="H1264" t="s">
        <v>2351</v>
      </c>
      <c r="I1264" t="s">
        <v>14</v>
      </c>
    </row>
    <row r="1265" spans="1:9">
      <c r="A1265" t="s">
        <v>9</v>
      </c>
      <c r="B1265" t="s">
        <v>10</v>
      </c>
      <c r="C1265">
        <v>65</v>
      </c>
      <c r="D1265" t="s">
        <v>11</v>
      </c>
      <c r="E1265" t="s">
        <v>2378</v>
      </c>
      <c r="F1265" t="s">
        <v>2378</v>
      </c>
      <c r="G1265">
        <v>247956</v>
      </c>
      <c r="H1265" t="s">
        <v>2285</v>
      </c>
      <c r="I1265" t="s">
        <v>14</v>
      </c>
    </row>
    <row r="1266" spans="1:9">
      <c r="A1266" t="s">
        <v>9</v>
      </c>
      <c r="B1266" t="s">
        <v>10</v>
      </c>
      <c r="C1266">
        <v>65</v>
      </c>
      <c r="D1266" t="s">
        <v>11</v>
      </c>
      <c r="E1266" t="s">
        <v>2379</v>
      </c>
      <c r="F1266" t="s">
        <v>2379</v>
      </c>
      <c r="G1266">
        <v>154173</v>
      </c>
      <c r="H1266" t="s">
        <v>2285</v>
      </c>
      <c r="I1266" t="s">
        <v>14</v>
      </c>
    </row>
    <row r="1267" spans="1:9">
      <c r="A1267" t="s">
        <v>9</v>
      </c>
      <c r="B1267" t="s">
        <v>10</v>
      </c>
      <c r="C1267">
        <v>65</v>
      </c>
      <c r="D1267" t="s">
        <v>11</v>
      </c>
      <c r="E1267" t="s">
        <v>2380</v>
      </c>
      <c r="F1267" t="s">
        <v>2380</v>
      </c>
      <c r="G1267">
        <v>295785</v>
      </c>
      <c r="H1267" t="s">
        <v>2285</v>
      </c>
      <c r="I1267" t="s">
        <v>14</v>
      </c>
    </row>
    <row r="1268" spans="1:9">
      <c r="A1268" t="s">
        <v>9</v>
      </c>
      <c r="B1268" t="s">
        <v>10</v>
      </c>
      <c r="C1268">
        <v>65</v>
      </c>
      <c r="D1268" t="s">
        <v>11</v>
      </c>
      <c r="E1268" t="s">
        <v>2381</v>
      </c>
      <c r="F1268" t="s">
        <v>2381</v>
      </c>
      <c r="G1268">
        <v>609828</v>
      </c>
      <c r="H1268" t="s">
        <v>2285</v>
      </c>
      <c r="I1268" t="s">
        <v>14</v>
      </c>
    </row>
    <row r="1269" spans="1:9">
      <c r="A1269" t="s">
        <v>9</v>
      </c>
      <c r="B1269" t="s">
        <v>10</v>
      </c>
      <c r="C1269">
        <v>65</v>
      </c>
      <c r="D1269" t="s">
        <v>11</v>
      </c>
      <c r="E1269" t="s">
        <v>2382</v>
      </c>
      <c r="F1269" t="s">
        <v>2382</v>
      </c>
      <c r="G1269">
        <v>816371</v>
      </c>
      <c r="H1269" t="s">
        <v>2285</v>
      </c>
      <c r="I1269" t="s">
        <v>14</v>
      </c>
    </row>
    <row r="1270" spans="1:9">
      <c r="A1270" t="s">
        <v>9</v>
      </c>
      <c r="B1270" t="s">
        <v>10</v>
      </c>
      <c r="C1270">
        <v>65</v>
      </c>
      <c r="D1270" t="s">
        <v>11</v>
      </c>
      <c r="E1270" t="s">
        <v>2383</v>
      </c>
      <c r="F1270" t="s">
        <v>2383</v>
      </c>
      <c r="G1270">
        <v>649434</v>
      </c>
      <c r="H1270" t="s">
        <v>2285</v>
      </c>
      <c r="I1270" t="s">
        <v>14</v>
      </c>
    </row>
    <row r="1271" spans="1:9">
      <c r="A1271" t="s">
        <v>9</v>
      </c>
      <c r="B1271" t="s">
        <v>10</v>
      </c>
      <c r="C1271">
        <v>65</v>
      </c>
      <c r="D1271" t="s">
        <v>11</v>
      </c>
      <c r="E1271" t="s">
        <v>2384</v>
      </c>
      <c r="F1271" t="s">
        <v>2384</v>
      </c>
      <c r="G1271">
        <v>207553</v>
      </c>
      <c r="H1271" t="s">
        <v>2285</v>
      </c>
      <c r="I1271" t="s">
        <v>14</v>
      </c>
    </row>
    <row r="1272" spans="1:9">
      <c r="A1272" t="s">
        <v>9</v>
      </c>
      <c r="B1272" t="s">
        <v>10</v>
      </c>
      <c r="C1272">
        <v>65</v>
      </c>
      <c r="D1272" t="s">
        <v>11</v>
      </c>
      <c r="E1272" t="s">
        <v>2385</v>
      </c>
      <c r="F1272" t="s">
        <v>2385</v>
      </c>
      <c r="G1272">
        <v>37040</v>
      </c>
      <c r="H1272" t="s">
        <v>2351</v>
      </c>
      <c r="I1272" t="s">
        <v>14</v>
      </c>
    </row>
    <row r="1273" spans="1:9">
      <c r="A1273" t="s">
        <v>9</v>
      </c>
      <c r="B1273" t="s">
        <v>10</v>
      </c>
      <c r="C1273">
        <v>65</v>
      </c>
      <c r="D1273" t="s">
        <v>11</v>
      </c>
      <c r="E1273" t="s">
        <v>2386</v>
      </c>
      <c r="F1273" t="s">
        <v>2386</v>
      </c>
      <c r="G1273">
        <v>15370</v>
      </c>
      <c r="H1273" t="s">
        <v>2285</v>
      </c>
      <c r="I1273" t="s">
        <v>14</v>
      </c>
    </row>
    <row r="1274" spans="1:9">
      <c r="A1274" t="s">
        <v>9</v>
      </c>
      <c r="B1274" t="s">
        <v>10</v>
      </c>
      <c r="C1274">
        <v>65</v>
      </c>
      <c r="D1274" t="s">
        <v>11</v>
      </c>
      <c r="E1274" t="s">
        <v>2387</v>
      </c>
      <c r="F1274" t="s">
        <v>2387</v>
      </c>
      <c r="G1274">
        <v>10930</v>
      </c>
      <c r="H1274" t="s">
        <v>2351</v>
      </c>
      <c r="I1274" t="s">
        <v>14</v>
      </c>
    </row>
    <row r="1275" spans="1:9">
      <c r="A1275" t="s">
        <v>9</v>
      </c>
      <c r="B1275" t="s">
        <v>10</v>
      </c>
      <c r="C1275">
        <v>65</v>
      </c>
      <c r="D1275" t="s">
        <v>11</v>
      </c>
      <c r="E1275" t="s">
        <v>2388</v>
      </c>
      <c r="F1275" t="s">
        <v>2388</v>
      </c>
      <c r="G1275">
        <v>18748</v>
      </c>
      <c r="H1275" t="s">
        <v>2285</v>
      </c>
      <c r="I1275" t="s">
        <v>14</v>
      </c>
    </row>
    <row r="1276" spans="1:9">
      <c r="A1276" t="s">
        <v>9</v>
      </c>
      <c r="B1276" t="s">
        <v>10</v>
      </c>
      <c r="C1276">
        <v>65</v>
      </c>
      <c r="D1276" t="s">
        <v>11</v>
      </c>
      <c r="E1276" t="s">
        <v>2389</v>
      </c>
      <c r="F1276" t="s">
        <v>2389</v>
      </c>
      <c r="G1276">
        <v>29301</v>
      </c>
      <c r="H1276" t="s">
        <v>2351</v>
      </c>
      <c r="I1276" t="s">
        <v>14</v>
      </c>
    </row>
    <row r="1277" spans="1:9">
      <c r="A1277" t="s">
        <v>9</v>
      </c>
      <c r="B1277" t="s">
        <v>10</v>
      </c>
      <c r="C1277">
        <v>65</v>
      </c>
      <c r="D1277" t="s">
        <v>11</v>
      </c>
      <c r="E1277" t="s">
        <v>2390</v>
      </c>
      <c r="F1277" t="s">
        <v>2390</v>
      </c>
      <c r="G1277">
        <v>28003</v>
      </c>
      <c r="H1277" t="s">
        <v>2351</v>
      </c>
      <c r="I1277" t="s">
        <v>14</v>
      </c>
    </row>
    <row r="1278" spans="1:9">
      <c r="A1278" t="s">
        <v>9</v>
      </c>
      <c r="B1278" t="s">
        <v>10</v>
      </c>
      <c r="C1278">
        <v>65</v>
      </c>
      <c r="D1278" t="s">
        <v>11</v>
      </c>
      <c r="E1278" t="s">
        <v>2391</v>
      </c>
      <c r="F1278" t="s">
        <v>2391</v>
      </c>
      <c r="G1278">
        <v>94068</v>
      </c>
      <c r="H1278" t="s">
        <v>2351</v>
      </c>
      <c r="I1278" t="s">
        <v>14</v>
      </c>
    </row>
    <row r="1279" spans="1:9">
      <c r="A1279" t="s">
        <v>9</v>
      </c>
      <c r="B1279" t="s">
        <v>10</v>
      </c>
      <c r="C1279">
        <v>65</v>
      </c>
      <c r="D1279" t="s">
        <v>11</v>
      </c>
      <c r="E1279" t="s">
        <v>2392</v>
      </c>
      <c r="F1279" t="s">
        <v>2392</v>
      </c>
      <c r="G1279">
        <v>147059</v>
      </c>
      <c r="H1279" t="s">
        <v>2285</v>
      </c>
      <c r="I1279" t="s">
        <v>14</v>
      </c>
    </row>
    <row r="1280" spans="1:9">
      <c r="A1280" t="s">
        <v>9</v>
      </c>
      <c r="B1280" t="s">
        <v>10</v>
      </c>
      <c r="C1280">
        <v>65</v>
      </c>
      <c r="D1280" t="s">
        <v>11</v>
      </c>
      <c r="E1280" t="s">
        <v>2393</v>
      </c>
      <c r="F1280" t="s">
        <v>2393</v>
      </c>
      <c r="G1280">
        <v>174930</v>
      </c>
      <c r="H1280" t="s">
        <v>2351</v>
      </c>
      <c r="I1280" t="s">
        <v>14</v>
      </c>
    </row>
    <row r="1281" spans="1:9">
      <c r="A1281" t="s">
        <v>9</v>
      </c>
      <c r="B1281" t="s">
        <v>10</v>
      </c>
      <c r="C1281">
        <v>65</v>
      </c>
      <c r="D1281" t="s">
        <v>11</v>
      </c>
      <c r="E1281" t="s">
        <v>2394</v>
      </c>
      <c r="F1281" t="s">
        <v>2394</v>
      </c>
      <c r="G1281">
        <v>251252</v>
      </c>
      <c r="H1281" t="s">
        <v>2285</v>
      </c>
      <c r="I1281" t="s">
        <v>14</v>
      </c>
    </row>
    <row r="1282" spans="1:9">
      <c r="A1282" t="s">
        <v>9</v>
      </c>
      <c r="B1282" t="s">
        <v>10</v>
      </c>
      <c r="C1282">
        <v>65</v>
      </c>
      <c r="D1282" t="s">
        <v>11</v>
      </c>
      <c r="E1282" t="s">
        <v>2395</v>
      </c>
      <c r="F1282" t="s">
        <v>2395</v>
      </c>
      <c r="G1282">
        <v>61471</v>
      </c>
      <c r="H1282" t="s">
        <v>2285</v>
      </c>
      <c r="I1282" t="s">
        <v>14</v>
      </c>
    </row>
    <row r="1283" spans="1:9">
      <c r="A1283" t="s">
        <v>9</v>
      </c>
      <c r="B1283" t="s">
        <v>10</v>
      </c>
      <c r="C1283">
        <v>65</v>
      </c>
      <c r="D1283" t="s">
        <v>11</v>
      </c>
      <c r="E1283" t="s">
        <v>2396</v>
      </c>
      <c r="F1283" t="s">
        <v>2396</v>
      </c>
      <c r="G1283">
        <v>14872</v>
      </c>
      <c r="H1283" t="s">
        <v>2285</v>
      </c>
      <c r="I1283" t="s">
        <v>14</v>
      </c>
    </row>
    <row r="1284" spans="1:9">
      <c r="A1284" t="s">
        <v>9</v>
      </c>
      <c r="B1284" t="s">
        <v>10</v>
      </c>
      <c r="C1284">
        <v>65</v>
      </c>
      <c r="D1284" t="s">
        <v>11</v>
      </c>
      <c r="E1284" t="s">
        <v>2397</v>
      </c>
      <c r="F1284" t="s">
        <v>2397</v>
      </c>
      <c r="G1284">
        <v>10338</v>
      </c>
      <c r="H1284" t="s">
        <v>2285</v>
      </c>
      <c r="I1284" t="s">
        <v>14</v>
      </c>
    </row>
    <row r="1285" spans="1:9">
      <c r="A1285" t="s">
        <v>9</v>
      </c>
      <c r="B1285" t="s">
        <v>10</v>
      </c>
      <c r="C1285">
        <v>65</v>
      </c>
      <c r="D1285" t="s">
        <v>11</v>
      </c>
      <c r="E1285" t="s">
        <v>2398</v>
      </c>
      <c r="F1285" t="s">
        <v>2398</v>
      </c>
      <c r="G1285">
        <v>7696</v>
      </c>
      <c r="H1285" t="s">
        <v>2285</v>
      </c>
      <c r="I1285" t="s">
        <v>14</v>
      </c>
    </row>
    <row r="1286" spans="1:9">
      <c r="A1286" t="s">
        <v>9</v>
      </c>
      <c r="B1286" t="s">
        <v>10</v>
      </c>
      <c r="C1286">
        <v>65</v>
      </c>
      <c r="D1286" t="s">
        <v>11</v>
      </c>
      <c r="E1286" t="s">
        <v>2399</v>
      </c>
      <c r="F1286" t="s">
        <v>2399</v>
      </c>
      <c r="G1286">
        <v>6859</v>
      </c>
      <c r="H1286" t="s">
        <v>2351</v>
      </c>
      <c r="I1286" t="s">
        <v>14</v>
      </c>
    </row>
    <row r="1287" spans="1:9">
      <c r="A1287" t="s">
        <v>9</v>
      </c>
      <c r="B1287" t="s">
        <v>10</v>
      </c>
      <c r="C1287">
        <v>65</v>
      </c>
      <c r="D1287" t="s">
        <v>11</v>
      </c>
      <c r="E1287" t="s">
        <v>2400</v>
      </c>
      <c r="F1287" t="s">
        <v>2400</v>
      </c>
      <c r="G1287">
        <v>7035</v>
      </c>
      <c r="I1287" t="s">
        <v>14</v>
      </c>
    </row>
    <row r="1288" spans="1:9">
      <c r="A1288" t="s">
        <v>9</v>
      </c>
      <c r="B1288" t="s">
        <v>10</v>
      </c>
      <c r="C1288">
        <v>65</v>
      </c>
      <c r="D1288" t="s">
        <v>11</v>
      </c>
      <c r="E1288" t="s">
        <v>2401</v>
      </c>
      <c r="F1288" t="s">
        <v>2401</v>
      </c>
      <c r="G1288">
        <v>18032</v>
      </c>
      <c r="H1288" t="s">
        <v>2351</v>
      </c>
      <c r="I1288" t="s">
        <v>14</v>
      </c>
    </row>
    <row r="1289" spans="1:9">
      <c r="A1289" t="s">
        <v>9</v>
      </c>
      <c r="B1289" t="s">
        <v>10</v>
      </c>
      <c r="C1289">
        <v>65</v>
      </c>
      <c r="D1289" t="s">
        <v>11</v>
      </c>
      <c r="E1289" t="s">
        <v>2402</v>
      </c>
      <c r="F1289" t="s">
        <v>2402</v>
      </c>
      <c r="G1289">
        <v>77731</v>
      </c>
      <c r="H1289" t="s">
        <v>2285</v>
      </c>
      <c r="I1289" t="s">
        <v>14</v>
      </c>
    </row>
    <row r="1290" spans="1:9">
      <c r="A1290" t="s">
        <v>9</v>
      </c>
      <c r="B1290" t="s">
        <v>10</v>
      </c>
      <c r="C1290">
        <v>65</v>
      </c>
      <c r="D1290" t="s">
        <v>11</v>
      </c>
      <c r="E1290" t="s">
        <v>2403</v>
      </c>
      <c r="F1290" t="s">
        <v>2403</v>
      </c>
      <c r="G1290">
        <v>100736</v>
      </c>
      <c r="H1290" t="s">
        <v>2285</v>
      </c>
      <c r="I1290" t="s">
        <v>14</v>
      </c>
    </row>
    <row r="1291" spans="1:9">
      <c r="A1291" t="s">
        <v>9</v>
      </c>
      <c r="B1291" t="s">
        <v>10</v>
      </c>
      <c r="C1291">
        <v>65</v>
      </c>
      <c r="D1291" t="s">
        <v>11</v>
      </c>
      <c r="E1291" t="s">
        <v>2404</v>
      </c>
      <c r="F1291" t="s">
        <v>2404</v>
      </c>
      <c r="G1291">
        <v>123659</v>
      </c>
      <c r="H1291" t="s">
        <v>2285</v>
      </c>
      <c r="I1291" t="s">
        <v>14</v>
      </c>
    </row>
    <row r="1292" spans="1:9">
      <c r="A1292" t="s">
        <v>9</v>
      </c>
      <c r="B1292" t="s">
        <v>10</v>
      </c>
      <c r="C1292">
        <v>65</v>
      </c>
      <c r="D1292" t="s">
        <v>11</v>
      </c>
      <c r="E1292" t="s">
        <v>2405</v>
      </c>
      <c r="F1292" t="s">
        <v>2405</v>
      </c>
      <c r="G1292">
        <v>188561</v>
      </c>
      <c r="H1292" t="s">
        <v>2285</v>
      </c>
      <c r="I1292" t="s">
        <v>14</v>
      </c>
    </row>
    <row r="1293" spans="1:9">
      <c r="A1293" t="s">
        <v>9</v>
      </c>
      <c r="B1293" t="s">
        <v>10</v>
      </c>
      <c r="C1293">
        <v>65</v>
      </c>
      <c r="D1293" t="s">
        <v>11</v>
      </c>
      <c r="E1293" t="s">
        <v>2406</v>
      </c>
      <c r="F1293" t="s">
        <v>2406</v>
      </c>
      <c r="G1293">
        <v>360341</v>
      </c>
      <c r="H1293" t="s">
        <v>2351</v>
      </c>
      <c r="I1293" t="s">
        <v>14</v>
      </c>
    </row>
    <row r="1294" spans="1:9">
      <c r="A1294" t="s">
        <v>9</v>
      </c>
      <c r="B1294" t="s">
        <v>10</v>
      </c>
      <c r="C1294">
        <v>65</v>
      </c>
      <c r="D1294" t="s">
        <v>11</v>
      </c>
      <c r="E1294" t="s">
        <v>2407</v>
      </c>
      <c r="F1294" t="s">
        <v>2407</v>
      </c>
      <c r="G1294">
        <v>203979</v>
      </c>
      <c r="H1294" t="s">
        <v>2285</v>
      </c>
      <c r="I1294" t="s">
        <v>14</v>
      </c>
    </row>
    <row r="1295" spans="1:9">
      <c r="A1295" t="s">
        <v>9</v>
      </c>
      <c r="B1295" t="s">
        <v>10</v>
      </c>
      <c r="C1295">
        <v>65</v>
      </c>
      <c r="D1295" t="s">
        <v>11</v>
      </c>
      <c r="E1295" t="s">
        <v>2408</v>
      </c>
      <c r="F1295" t="s">
        <v>2408</v>
      </c>
      <c r="G1295">
        <v>32469</v>
      </c>
      <c r="H1295" t="s">
        <v>2285</v>
      </c>
      <c r="I1295" t="s">
        <v>14</v>
      </c>
    </row>
    <row r="1296" spans="1:9">
      <c r="A1296" t="s">
        <v>9</v>
      </c>
      <c r="B1296" t="s">
        <v>10</v>
      </c>
      <c r="C1296">
        <v>65</v>
      </c>
      <c r="D1296" t="s">
        <v>11</v>
      </c>
      <c r="E1296" t="s">
        <v>2409</v>
      </c>
      <c r="F1296" t="s">
        <v>2409</v>
      </c>
      <c r="G1296">
        <v>4989</v>
      </c>
      <c r="H1296" t="s">
        <v>2285</v>
      </c>
      <c r="I1296" t="s">
        <v>14</v>
      </c>
    </row>
    <row r="1297" spans="1:9">
      <c r="A1297" t="s">
        <v>9</v>
      </c>
      <c r="B1297" t="s">
        <v>10</v>
      </c>
      <c r="C1297">
        <v>65</v>
      </c>
      <c r="D1297" t="s">
        <v>11</v>
      </c>
      <c r="E1297" t="s">
        <v>2410</v>
      </c>
      <c r="F1297" t="s">
        <v>2410</v>
      </c>
      <c r="G1297">
        <v>4401</v>
      </c>
      <c r="H1297" t="s">
        <v>2285</v>
      </c>
      <c r="I1297" t="s">
        <v>14</v>
      </c>
    </row>
    <row r="1298" spans="1:9">
      <c r="A1298" t="s">
        <v>9</v>
      </c>
      <c r="B1298" t="s">
        <v>10</v>
      </c>
      <c r="C1298">
        <v>65</v>
      </c>
      <c r="D1298" t="s">
        <v>11</v>
      </c>
      <c r="E1298" t="s">
        <v>2411</v>
      </c>
      <c r="F1298" t="s">
        <v>2411</v>
      </c>
      <c r="G1298">
        <v>4312</v>
      </c>
      <c r="H1298" t="s">
        <v>2285</v>
      </c>
      <c r="I1298" t="s">
        <v>14</v>
      </c>
    </row>
    <row r="1299" spans="1:9">
      <c r="A1299" t="s">
        <v>9</v>
      </c>
      <c r="B1299" t="s">
        <v>10</v>
      </c>
      <c r="C1299">
        <v>65</v>
      </c>
      <c r="D1299" t="s">
        <v>11</v>
      </c>
      <c r="E1299" t="s">
        <v>2412</v>
      </c>
      <c r="F1299" t="s">
        <v>2412</v>
      </c>
      <c r="G1299">
        <v>61501</v>
      </c>
      <c r="H1299" t="s">
        <v>2285</v>
      </c>
      <c r="I1299" t="s">
        <v>14</v>
      </c>
    </row>
    <row r="1300" spans="1:9">
      <c r="A1300" t="s">
        <v>9</v>
      </c>
      <c r="B1300" t="s">
        <v>10</v>
      </c>
      <c r="C1300">
        <v>65</v>
      </c>
      <c r="D1300" t="s">
        <v>11</v>
      </c>
      <c r="E1300" t="s">
        <v>2413</v>
      </c>
      <c r="F1300" t="s">
        <v>2413</v>
      </c>
      <c r="G1300">
        <v>27456</v>
      </c>
      <c r="H1300" t="s">
        <v>2351</v>
      </c>
      <c r="I1300" t="s">
        <v>14</v>
      </c>
    </row>
    <row r="1301" spans="1:9">
      <c r="A1301" t="s">
        <v>9</v>
      </c>
      <c r="B1301" t="s">
        <v>10</v>
      </c>
      <c r="C1301">
        <v>65</v>
      </c>
      <c r="D1301" t="s">
        <v>11</v>
      </c>
      <c r="E1301" t="s">
        <v>2414</v>
      </c>
      <c r="F1301" t="s">
        <v>2414</v>
      </c>
      <c r="G1301">
        <v>105360</v>
      </c>
      <c r="H1301" t="s">
        <v>2285</v>
      </c>
      <c r="I1301" t="s">
        <v>14</v>
      </c>
    </row>
    <row r="1302" spans="1:9">
      <c r="A1302" t="s">
        <v>9</v>
      </c>
      <c r="B1302" t="s">
        <v>10</v>
      </c>
      <c r="C1302">
        <v>65</v>
      </c>
      <c r="D1302" t="s">
        <v>11</v>
      </c>
      <c r="E1302" t="s">
        <v>2415</v>
      </c>
      <c r="F1302" t="s">
        <v>2415</v>
      </c>
      <c r="G1302">
        <v>118142</v>
      </c>
      <c r="H1302" t="s">
        <v>2285</v>
      </c>
      <c r="I1302" t="s">
        <v>14</v>
      </c>
    </row>
    <row r="1303" spans="1:9">
      <c r="A1303" t="s">
        <v>9</v>
      </c>
      <c r="B1303" t="s">
        <v>10</v>
      </c>
      <c r="C1303">
        <v>65</v>
      </c>
      <c r="D1303" t="s">
        <v>11</v>
      </c>
      <c r="E1303" t="s">
        <v>2416</v>
      </c>
      <c r="F1303" t="s">
        <v>2416</v>
      </c>
      <c r="G1303">
        <v>228343</v>
      </c>
      <c r="H1303" t="s">
        <v>2285</v>
      </c>
      <c r="I1303" t="s">
        <v>14</v>
      </c>
    </row>
    <row r="1304" spans="1:9">
      <c r="A1304" t="s">
        <v>9</v>
      </c>
      <c r="B1304" t="s">
        <v>10</v>
      </c>
      <c r="C1304">
        <v>65</v>
      </c>
      <c r="D1304" t="s">
        <v>11</v>
      </c>
      <c r="E1304" t="s">
        <v>2417</v>
      </c>
      <c r="F1304" t="s">
        <v>2417</v>
      </c>
      <c r="G1304">
        <v>259796</v>
      </c>
      <c r="H1304" t="s">
        <v>2351</v>
      </c>
      <c r="I1304" t="s">
        <v>14</v>
      </c>
    </row>
    <row r="1305" spans="1:9">
      <c r="A1305" t="s">
        <v>9</v>
      </c>
      <c r="B1305" t="s">
        <v>10</v>
      </c>
      <c r="C1305">
        <v>65</v>
      </c>
      <c r="D1305" t="s">
        <v>11</v>
      </c>
      <c r="E1305" t="s">
        <v>2418</v>
      </c>
      <c r="F1305" t="s">
        <v>2418</v>
      </c>
      <c r="G1305">
        <v>563144</v>
      </c>
      <c r="H1305" t="s">
        <v>2285</v>
      </c>
      <c r="I1305" t="s">
        <v>14</v>
      </c>
    </row>
    <row r="1306" spans="1:9">
      <c r="A1306" t="s">
        <v>9</v>
      </c>
      <c r="B1306" t="s">
        <v>10</v>
      </c>
      <c r="C1306">
        <v>65</v>
      </c>
      <c r="D1306" t="s">
        <v>11</v>
      </c>
      <c r="E1306" t="s">
        <v>2419</v>
      </c>
      <c r="F1306" t="s">
        <v>2419</v>
      </c>
      <c r="G1306">
        <v>225187</v>
      </c>
      <c r="H1306" t="s">
        <v>2351</v>
      </c>
      <c r="I1306" t="s">
        <v>14</v>
      </c>
    </row>
    <row r="1307" spans="1:9">
      <c r="A1307" t="s">
        <v>9</v>
      </c>
      <c r="B1307" t="s">
        <v>10</v>
      </c>
      <c r="C1307">
        <v>65</v>
      </c>
      <c r="D1307" t="s">
        <v>11</v>
      </c>
      <c r="E1307" t="s">
        <v>2420</v>
      </c>
      <c r="F1307" t="s">
        <v>2420</v>
      </c>
      <c r="G1307">
        <v>56825</v>
      </c>
      <c r="H1307" t="s">
        <v>2285</v>
      </c>
      <c r="I1307" t="s">
        <v>14</v>
      </c>
    </row>
    <row r="1308" spans="1:9">
      <c r="A1308" t="s">
        <v>9</v>
      </c>
      <c r="B1308" t="s">
        <v>10</v>
      </c>
      <c r="C1308">
        <v>65</v>
      </c>
      <c r="D1308" t="s">
        <v>11</v>
      </c>
      <c r="E1308" t="s">
        <v>2421</v>
      </c>
      <c r="F1308" t="s">
        <v>2421</v>
      </c>
      <c r="G1308">
        <v>8527</v>
      </c>
      <c r="H1308" t="s">
        <v>2285</v>
      </c>
      <c r="I1308" t="s">
        <v>14</v>
      </c>
    </row>
    <row r="1309" spans="1:9">
      <c r="A1309" t="s">
        <v>9</v>
      </c>
      <c r="B1309" t="s">
        <v>10</v>
      </c>
      <c r="C1309">
        <v>65</v>
      </c>
      <c r="D1309" t="s">
        <v>11</v>
      </c>
      <c r="E1309" t="s">
        <v>2422</v>
      </c>
      <c r="F1309" t="s">
        <v>2422</v>
      </c>
      <c r="G1309">
        <v>6514</v>
      </c>
      <c r="H1309" t="s">
        <v>2285</v>
      </c>
      <c r="I1309" t="s">
        <v>14</v>
      </c>
    </row>
    <row r="1310" spans="1:9">
      <c r="A1310" t="s">
        <v>9</v>
      </c>
      <c r="B1310" t="s">
        <v>10</v>
      </c>
      <c r="C1310">
        <v>65</v>
      </c>
      <c r="D1310" t="s">
        <v>11</v>
      </c>
      <c r="E1310" t="s">
        <v>2423</v>
      </c>
      <c r="F1310" t="s">
        <v>2423</v>
      </c>
      <c r="G1310">
        <v>54425</v>
      </c>
      <c r="H1310" t="s">
        <v>2285</v>
      </c>
      <c r="I1310" t="s">
        <v>14</v>
      </c>
    </row>
    <row r="1311" spans="1:9">
      <c r="A1311" t="s">
        <v>9</v>
      </c>
      <c r="B1311" t="s">
        <v>10</v>
      </c>
      <c r="C1311">
        <v>65</v>
      </c>
      <c r="D1311" t="s">
        <v>11</v>
      </c>
      <c r="E1311" t="s">
        <v>2424</v>
      </c>
      <c r="F1311" t="s">
        <v>2424</v>
      </c>
      <c r="G1311">
        <v>11379</v>
      </c>
      <c r="H1311" t="s">
        <v>2285</v>
      </c>
      <c r="I1311" t="s">
        <v>14</v>
      </c>
    </row>
    <row r="1312" spans="1:9">
      <c r="A1312" t="s">
        <v>9</v>
      </c>
      <c r="B1312" t="s">
        <v>10</v>
      </c>
      <c r="C1312">
        <v>65</v>
      </c>
      <c r="D1312" t="s">
        <v>11</v>
      </c>
      <c r="E1312" t="s">
        <v>2425</v>
      </c>
      <c r="F1312" t="s">
        <v>2425</v>
      </c>
      <c r="G1312">
        <v>38607</v>
      </c>
      <c r="H1312" t="s">
        <v>2285</v>
      </c>
      <c r="I1312" t="s">
        <v>14</v>
      </c>
    </row>
    <row r="1313" spans="1:9">
      <c r="A1313" t="s">
        <v>9</v>
      </c>
      <c r="B1313" t="s">
        <v>10</v>
      </c>
      <c r="C1313">
        <v>65</v>
      </c>
      <c r="D1313" t="s">
        <v>11</v>
      </c>
      <c r="E1313" t="s">
        <v>2426</v>
      </c>
      <c r="F1313" t="s">
        <v>2426</v>
      </c>
      <c r="G1313">
        <v>90384</v>
      </c>
      <c r="H1313" t="s">
        <v>2285</v>
      </c>
      <c r="I1313" t="s">
        <v>14</v>
      </c>
    </row>
    <row r="1314" spans="1:9">
      <c r="A1314" t="s">
        <v>9</v>
      </c>
      <c r="B1314" t="s">
        <v>10</v>
      </c>
      <c r="C1314">
        <v>65</v>
      </c>
      <c r="D1314" t="s">
        <v>11</v>
      </c>
      <c r="E1314" t="s">
        <v>2427</v>
      </c>
      <c r="F1314" t="s">
        <v>2427</v>
      </c>
      <c r="G1314">
        <v>103469</v>
      </c>
      <c r="H1314" t="s">
        <v>2285</v>
      </c>
      <c r="I1314" t="s">
        <v>14</v>
      </c>
    </row>
    <row r="1315" spans="1:9">
      <c r="A1315" t="s">
        <v>9</v>
      </c>
      <c r="B1315" t="s">
        <v>10</v>
      </c>
      <c r="C1315">
        <v>65</v>
      </c>
      <c r="D1315" t="s">
        <v>11</v>
      </c>
      <c r="E1315" t="s">
        <v>2428</v>
      </c>
      <c r="F1315" t="s">
        <v>2428</v>
      </c>
      <c r="G1315">
        <v>160717</v>
      </c>
      <c r="H1315" t="s">
        <v>2285</v>
      </c>
      <c r="I1315" t="s">
        <v>14</v>
      </c>
    </row>
    <row r="1316" spans="1:9">
      <c r="A1316" t="s">
        <v>9</v>
      </c>
      <c r="B1316" t="s">
        <v>10</v>
      </c>
      <c r="C1316">
        <v>65</v>
      </c>
      <c r="D1316" t="s">
        <v>11</v>
      </c>
      <c r="E1316" t="s">
        <v>2429</v>
      </c>
      <c r="F1316" t="s">
        <v>2429</v>
      </c>
      <c r="G1316">
        <v>249967</v>
      </c>
      <c r="H1316" t="s">
        <v>2285</v>
      </c>
      <c r="I1316" t="s">
        <v>14</v>
      </c>
    </row>
    <row r="1317" spans="1:9">
      <c r="A1317" t="s">
        <v>9</v>
      </c>
      <c r="B1317" t="s">
        <v>10</v>
      </c>
      <c r="C1317">
        <v>65</v>
      </c>
      <c r="D1317" t="s">
        <v>11</v>
      </c>
      <c r="E1317" t="s">
        <v>2430</v>
      </c>
      <c r="F1317" t="s">
        <v>2430</v>
      </c>
      <c r="G1317">
        <v>386298</v>
      </c>
      <c r="H1317" t="s">
        <v>2285</v>
      </c>
      <c r="I1317" t="s">
        <v>14</v>
      </c>
    </row>
    <row r="1318" spans="1:9">
      <c r="A1318" t="s">
        <v>9</v>
      </c>
      <c r="B1318" t="s">
        <v>10</v>
      </c>
      <c r="C1318">
        <v>65</v>
      </c>
      <c r="D1318" t="s">
        <v>11</v>
      </c>
      <c r="E1318" t="s">
        <v>2431</v>
      </c>
      <c r="F1318" t="s">
        <v>2431</v>
      </c>
      <c r="G1318">
        <v>629376</v>
      </c>
      <c r="H1318" t="s">
        <v>2285</v>
      </c>
      <c r="I1318" t="s">
        <v>14</v>
      </c>
    </row>
    <row r="1319" spans="1:9">
      <c r="A1319" t="s">
        <v>9</v>
      </c>
      <c r="B1319" t="s">
        <v>10</v>
      </c>
      <c r="C1319">
        <v>65</v>
      </c>
      <c r="D1319" t="s">
        <v>11</v>
      </c>
      <c r="E1319" t="s">
        <v>2432</v>
      </c>
      <c r="F1319" t="s">
        <v>2432</v>
      </c>
      <c r="G1319">
        <v>142753</v>
      </c>
      <c r="H1319" t="s">
        <v>2285</v>
      </c>
      <c r="I1319" t="s">
        <v>14</v>
      </c>
    </row>
    <row r="1320" spans="1:9">
      <c r="A1320" t="s">
        <v>9</v>
      </c>
      <c r="B1320" t="s">
        <v>10</v>
      </c>
      <c r="C1320">
        <v>65</v>
      </c>
      <c r="D1320" t="s">
        <v>11</v>
      </c>
      <c r="E1320" t="s">
        <v>2433</v>
      </c>
      <c r="F1320" t="s">
        <v>2433</v>
      </c>
      <c r="G1320">
        <v>13999</v>
      </c>
      <c r="H1320" t="s">
        <v>2351</v>
      </c>
      <c r="I1320" t="s">
        <v>14</v>
      </c>
    </row>
    <row r="1321" spans="1:9">
      <c r="A1321" t="s">
        <v>9</v>
      </c>
      <c r="B1321" t="s">
        <v>10</v>
      </c>
      <c r="C1321">
        <v>65</v>
      </c>
      <c r="D1321" t="s">
        <v>11</v>
      </c>
      <c r="E1321" t="s">
        <v>2434</v>
      </c>
      <c r="F1321" t="s">
        <v>2434</v>
      </c>
      <c r="G1321">
        <v>6169</v>
      </c>
      <c r="H1321" t="s">
        <v>2351</v>
      </c>
      <c r="I1321" t="s">
        <v>14</v>
      </c>
    </row>
    <row r="1322" spans="1:9">
      <c r="A1322" t="s">
        <v>9</v>
      </c>
      <c r="B1322" t="s">
        <v>10</v>
      </c>
      <c r="C1322">
        <v>65</v>
      </c>
      <c r="D1322" t="s">
        <v>11</v>
      </c>
      <c r="E1322" t="s">
        <v>2435</v>
      </c>
      <c r="F1322" t="s">
        <v>2435</v>
      </c>
      <c r="G1322">
        <v>107671</v>
      </c>
      <c r="H1322" t="s">
        <v>2285</v>
      </c>
      <c r="I1322" t="s">
        <v>14</v>
      </c>
    </row>
    <row r="1323" spans="1:9">
      <c r="A1323" t="s">
        <v>9</v>
      </c>
      <c r="B1323" t="s">
        <v>10</v>
      </c>
      <c r="C1323">
        <v>65</v>
      </c>
      <c r="D1323" t="s">
        <v>11</v>
      </c>
      <c r="E1323" t="s">
        <v>2436</v>
      </c>
      <c r="F1323" t="s">
        <v>2436</v>
      </c>
      <c r="G1323">
        <v>80548</v>
      </c>
      <c r="H1323" t="s">
        <v>2351</v>
      </c>
      <c r="I1323" t="s">
        <v>14</v>
      </c>
    </row>
    <row r="1324" spans="1:9">
      <c r="A1324" t="s">
        <v>9</v>
      </c>
      <c r="B1324" t="s">
        <v>10</v>
      </c>
      <c r="C1324">
        <v>65</v>
      </c>
      <c r="D1324" t="s">
        <v>11</v>
      </c>
      <c r="E1324" t="s">
        <v>2437</v>
      </c>
      <c r="F1324" t="s">
        <v>2437</v>
      </c>
      <c r="G1324">
        <v>336431</v>
      </c>
      <c r="H1324" t="s">
        <v>2351</v>
      </c>
      <c r="I1324" t="s">
        <v>14</v>
      </c>
    </row>
    <row r="1325" spans="1:9">
      <c r="A1325" t="s">
        <v>9</v>
      </c>
      <c r="B1325" t="s">
        <v>10</v>
      </c>
      <c r="C1325">
        <v>65</v>
      </c>
      <c r="D1325" t="s">
        <v>11</v>
      </c>
      <c r="E1325" t="s">
        <v>2438</v>
      </c>
      <c r="F1325" t="s">
        <v>2438</v>
      </c>
      <c r="G1325">
        <v>171791</v>
      </c>
      <c r="H1325" t="s">
        <v>2351</v>
      </c>
      <c r="I1325" t="s">
        <v>14</v>
      </c>
    </row>
    <row r="1326" spans="1:9">
      <c r="A1326" t="s">
        <v>9</v>
      </c>
      <c r="B1326" t="s">
        <v>10</v>
      </c>
      <c r="C1326">
        <v>65</v>
      </c>
      <c r="D1326" t="s">
        <v>11</v>
      </c>
      <c r="E1326" t="s">
        <v>2439</v>
      </c>
      <c r="F1326" t="s">
        <v>2439</v>
      </c>
      <c r="G1326">
        <v>138775</v>
      </c>
      <c r="H1326" t="s">
        <v>2351</v>
      </c>
      <c r="I1326" t="s">
        <v>14</v>
      </c>
    </row>
    <row r="1327" spans="1:9">
      <c r="A1327" t="s">
        <v>9</v>
      </c>
      <c r="B1327" t="s">
        <v>10</v>
      </c>
      <c r="C1327">
        <v>65</v>
      </c>
      <c r="D1327" t="s">
        <v>11</v>
      </c>
      <c r="E1327" t="s">
        <v>2440</v>
      </c>
      <c r="F1327" t="s">
        <v>2440</v>
      </c>
      <c r="G1327">
        <v>413537</v>
      </c>
      <c r="H1327" t="s">
        <v>2351</v>
      </c>
      <c r="I1327" t="s">
        <v>14</v>
      </c>
    </row>
    <row r="1328" spans="1:9">
      <c r="A1328" t="s">
        <v>9</v>
      </c>
      <c r="B1328" t="s">
        <v>10</v>
      </c>
      <c r="C1328">
        <v>65</v>
      </c>
      <c r="D1328" t="s">
        <v>11</v>
      </c>
      <c r="E1328" t="s">
        <v>2441</v>
      </c>
      <c r="F1328" t="s">
        <v>2441</v>
      </c>
      <c r="G1328">
        <v>433460</v>
      </c>
      <c r="H1328" t="s">
        <v>2351</v>
      </c>
      <c r="I1328" t="s">
        <v>14</v>
      </c>
    </row>
    <row r="1329" spans="1:9">
      <c r="A1329" t="s">
        <v>9</v>
      </c>
      <c r="B1329" t="s">
        <v>10</v>
      </c>
      <c r="C1329">
        <v>65</v>
      </c>
      <c r="D1329" t="s">
        <v>11</v>
      </c>
      <c r="E1329" t="s">
        <v>2442</v>
      </c>
      <c r="F1329" t="s">
        <v>2442</v>
      </c>
      <c r="G1329">
        <v>520414</v>
      </c>
      <c r="H1329" t="s">
        <v>2351</v>
      </c>
      <c r="I1329" t="s">
        <v>14</v>
      </c>
    </row>
    <row r="1330" spans="1:9">
      <c r="A1330" t="s">
        <v>9</v>
      </c>
      <c r="B1330" t="s">
        <v>10</v>
      </c>
      <c r="C1330">
        <v>65</v>
      </c>
      <c r="D1330" t="s">
        <v>11</v>
      </c>
      <c r="E1330" t="s">
        <v>2443</v>
      </c>
      <c r="F1330" t="s">
        <v>2443</v>
      </c>
      <c r="G1330">
        <v>772916</v>
      </c>
      <c r="H1330" t="s">
        <v>2351</v>
      </c>
      <c r="I1330" t="s">
        <v>14</v>
      </c>
    </row>
    <row r="1331" spans="1:9">
      <c r="A1331" t="s">
        <v>9</v>
      </c>
      <c r="B1331" t="s">
        <v>10</v>
      </c>
      <c r="C1331">
        <v>65</v>
      </c>
      <c r="D1331" t="s">
        <v>11</v>
      </c>
      <c r="E1331" t="s">
        <v>2444</v>
      </c>
      <c r="F1331" t="s">
        <v>2444</v>
      </c>
      <c r="G1331">
        <v>445711</v>
      </c>
      <c r="H1331" t="s">
        <v>2351</v>
      </c>
      <c r="I1331" t="s">
        <v>14</v>
      </c>
    </row>
    <row r="1332" spans="1:9">
      <c r="A1332" t="s">
        <v>9</v>
      </c>
      <c r="B1332" t="s">
        <v>10</v>
      </c>
      <c r="C1332">
        <v>65</v>
      </c>
      <c r="D1332" t="s">
        <v>11</v>
      </c>
      <c r="E1332" t="s">
        <v>2445</v>
      </c>
      <c r="F1332" t="s">
        <v>2445</v>
      </c>
      <c r="G1332">
        <v>78348</v>
      </c>
      <c r="I1332" t="s">
        <v>14</v>
      </c>
    </row>
    <row r="1333" spans="1:9">
      <c r="A1333" t="s">
        <v>9</v>
      </c>
      <c r="B1333" t="s">
        <v>10</v>
      </c>
      <c r="C1333">
        <v>65</v>
      </c>
      <c r="D1333" t="s">
        <v>11</v>
      </c>
      <c r="E1333" t="s">
        <v>2446</v>
      </c>
      <c r="F1333" t="s">
        <v>2446</v>
      </c>
      <c r="G1333">
        <v>24652</v>
      </c>
      <c r="H1333" t="s">
        <v>2351</v>
      </c>
      <c r="I1333" t="s">
        <v>14</v>
      </c>
    </row>
    <row r="1334" spans="1:9">
      <c r="A1334" t="s">
        <v>9</v>
      </c>
      <c r="B1334" t="s">
        <v>10</v>
      </c>
      <c r="C1334">
        <v>65</v>
      </c>
      <c r="D1334" t="s">
        <v>11</v>
      </c>
      <c r="E1334" t="s">
        <v>2447</v>
      </c>
      <c r="F1334" t="s">
        <v>2447</v>
      </c>
      <c r="G1334">
        <v>41218</v>
      </c>
      <c r="H1334" t="s">
        <v>2351</v>
      </c>
      <c r="I1334" t="s">
        <v>14</v>
      </c>
    </row>
    <row r="1335" spans="1:9">
      <c r="A1335" t="s">
        <v>9</v>
      </c>
      <c r="B1335" t="s">
        <v>10</v>
      </c>
      <c r="C1335">
        <v>65</v>
      </c>
      <c r="D1335" t="s">
        <v>11</v>
      </c>
      <c r="E1335" t="s">
        <v>2448</v>
      </c>
      <c r="F1335" t="s">
        <v>2448</v>
      </c>
      <c r="G1335">
        <v>19257</v>
      </c>
      <c r="H1335" t="s">
        <v>2351</v>
      </c>
      <c r="I1335" t="s">
        <v>14</v>
      </c>
    </row>
    <row r="1336" spans="1:9">
      <c r="A1336" t="s">
        <v>9</v>
      </c>
      <c r="B1336" t="s">
        <v>10</v>
      </c>
      <c r="C1336">
        <v>65</v>
      </c>
      <c r="D1336" t="s">
        <v>11</v>
      </c>
      <c r="E1336" t="s">
        <v>2449</v>
      </c>
      <c r="F1336" t="s">
        <v>2449</v>
      </c>
      <c r="G1336">
        <v>5431</v>
      </c>
      <c r="H1336" t="s">
        <v>2351</v>
      </c>
      <c r="I1336" t="s">
        <v>14</v>
      </c>
    </row>
    <row r="1337" spans="1:9">
      <c r="A1337" t="s">
        <v>9</v>
      </c>
      <c r="B1337" t="s">
        <v>10</v>
      </c>
      <c r="C1337">
        <v>65</v>
      </c>
      <c r="D1337" t="s">
        <v>11</v>
      </c>
      <c r="E1337" t="s">
        <v>2450</v>
      </c>
      <c r="F1337" t="s">
        <v>2450</v>
      </c>
      <c r="G1337">
        <v>48184</v>
      </c>
      <c r="H1337" t="s">
        <v>2351</v>
      </c>
      <c r="I1337" t="s">
        <v>14</v>
      </c>
    </row>
    <row r="1338" spans="1:9">
      <c r="A1338" t="s">
        <v>9</v>
      </c>
      <c r="B1338" t="s">
        <v>10</v>
      </c>
      <c r="C1338">
        <v>65</v>
      </c>
      <c r="D1338" t="s">
        <v>11</v>
      </c>
      <c r="E1338" t="s">
        <v>2451</v>
      </c>
      <c r="F1338" t="s">
        <v>2451</v>
      </c>
      <c r="G1338">
        <v>33460</v>
      </c>
      <c r="H1338" t="s">
        <v>2285</v>
      </c>
      <c r="I1338" t="s">
        <v>14</v>
      </c>
    </row>
    <row r="1339" spans="1:9">
      <c r="A1339" t="s">
        <v>9</v>
      </c>
      <c r="B1339" t="s">
        <v>10</v>
      </c>
      <c r="C1339">
        <v>65</v>
      </c>
      <c r="D1339" t="s">
        <v>11</v>
      </c>
      <c r="E1339" t="s">
        <v>2452</v>
      </c>
      <c r="F1339" t="s">
        <v>2452</v>
      </c>
      <c r="G1339">
        <v>106774</v>
      </c>
      <c r="H1339" t="s">
        <v>2285</v>
      </c>
      <c r="I1339" t="s">
        <v>14</v>
      </c>
    </row>
    <row r="1340" spans="1:9">
      <c r="A1340" t="s">
        <v>9</v>
      </c>
      <c r="B1340" t="s">
        <v>10</v>
      </c>
      <c r="C1340">
        <v>65</v>
      </c>
      <c r="D1340" t="s">
        <v>11</v>
      </c>
      <c r="E1340" t="s">
        <v>2453</v>
      </c>
      <c r="F1340" t="s">
        <v>2453</v>
      </c>
      <c r="G1340">
        <v>289238</v>
      </c>
      <c r="H1340" t="s">
        <v>2285</v>
      </c>
      <c r="I1340" t="s">
        <v>14</v>
      </c>
    </row>
    <row r="1341" spans="1:9">
      <c r="A1341" t="s">
        <v>9</v>
      </c>
      <c r="B1341" t="s">
        <v>10</v>
      </c>
      <c r="C1341">
        <v>65</v>
      </c>
      <c r="D1341" t="s">
        <v>11</v>
      </c>
      <c r="E1341" t="s">
        <v>2454</v>
      </c>
      <c r="F1341" t="s">
        <v>2454</v>
      </c>
      <c r="G1341">
        <v>250568</v>
      </c>
      <c r="H1341" t="s">
        <v>2285</v>
      </c>
      <c r="I1341" t="s">
        <v>14</v>
      </c>
    </row>
    <row r="1342" spans="1:9">
      <c r="A1342" t="s">
        <v>9</v>
      </c>
      <c r="B1342" t="s">
        <v>10</v>
      </c>
      <c r="C1342">
        <v>65</v>
      </c>
      <c r="D1342" t="s">
        <v>11</v>
      </c>
      <c r="E1342" t="s">
        <v>2455</v>
      </c>
      <c r="F1342" t="s">
        <v>2455</v>
      </c>
      <c r="G1342">
        <v>56643</v>
      </c>
      <c r="H1342" t="s">
        <v>2285</v>
      </c>
      <c r="I1342" t="s">
        <v>14</v>
      </c>
    </row>
    <row r="1343" spans="1:9">
      <c r="A1343" t="s">
        <v>9</v>
      </c>
      <c r="B1343" t="s">
        <v>10</v>
      </c>
      <c r="C1343">
        <v>65</v>
      </c>
      <c r="D1343" t="s">
        <v>11</v>
      </c>
      <c r="E1343" t="s">
        <v>2456</v>
      </c>
      <c r="F1343" t="s">
        <v>2456</v>
      </c>
      <c r="G1343">
        <v>12975</v>
      </c>
      <c r="H1343" t="s">
        <v>2285</v>
      </c>
      <c r="I1343" t="s">
        <v>14</v>
      </c>
    </row>
    <row r="1344" spans="1:9">
      <c r="A1344" t="s">
        <v>9</v>
      </c>
      <c r="B1344" t="s">
        <v>10</v>
      </c>
      <c r="C1344">
        <v>65</v>
      </c>
      <c r="D1344" t="s">
        <v>11</v>
      </c>
      <c r="E1344" t="s">
        <v>2457</v>
      </c>
      <c r="F1344" t="s">
        <v>2457</v>
      </c>
      <c r="G1344">
        <v>7621</v>
      </c>
      <c r="H1344" t="s">
        <v>2285</v>
      </c>
      <c r="I1344" t="s">
        <v>14</v>
      </c>
    </row>
    <row r="1345" spans="1:9">
      <c r="A1345" t="s">
        <v>9</v>
      </c>
      <c r="B1345" t="s">
        <v>10</v>
      </c>
      <c r="C1345">
        <v>65</v>
      </c>
      <c r="D1345" t="s">
        <v>11</v>
      </c>
      <c r="E1345" t="s">
        <v>2458</v>
      </c>
      <c r="F1345" t="s">
        <v>2458</v>
      </c>
      <c r="G1345">
        <v>4100</v>
      </c>
      <c r="H1345" t="s">
        <v>2285</v>
      </c>
      <c r="I1345" t="s">
        <v>14</v>
      </c>
    </row>
    <row r="1346" spans="1:9">
      <c r="A1346" t="s">
        <v>9</v>
      </c>
      <c r="B1346" t="s">
        <v>10</v>
      </c>
      <c r="C1346">
        <v>65</v>
      </c>
      <c r="D1346" t="s">
        <v>11</v>
      </c>
      <c r="E1346" t="s">
        <v>2459</v>
      </c>
      <c r="F1346" t="s">
        <v>2459</v>
      </c>
      <c r="G1346">
        <v>3509</v>
      </c>
      <c r="H1346" t="s">
        <v>2285</v>
      </c>
      <c r="I1346" t="s">
        <v>14</v>
      </c>
    </row>
    <row r="1347" spans="1:9">
      <c r="A1347" t="s">
        <v>9</v>
      </c>
      <c r="B1347" t="s">
        <v>10</v>
      </c>
      <c r="C1347">
        <v>65</v>
      </c>
      <c r="D1347" t="s">
        <v>11</v>
      </c>
      <c r="E1347" t="s">
        <v>2460</v>
      </c>
      <c r="F1347" t="s">
        <v>2460</v>
      </c>
      <c r="G1347">
        <v>32793</v>
      </c>
      <c r="H1347" t="s">
        <v>2285</v>
      </c>
      <c r="I1347" t="s">
        <v>14</v>
      </c>
    </row>
    <row r="1348" spans="1:9">
      <c r="A1348" t="s">
        <v>9</v>
      </c>
      <c r="B1348" t="s">
        <v>10</v>
      </c>
      <c r="C1348">
        <v>65</v>
      </c>
      <c r="D1348" t="s">
        <v>11</v>
      </c>
      <c r="E1348" t="s">
        <v>2461</v>
      </c>
      <c r="F1348" t="s">
        <v>2461</v>
      </c>
      <c r="G1348">
        <v>192120</v>
      </c>
      <c r="H1348" t="s">
        <v>2285</v>
      </c>
      <c r="I1348" t="s">
        <v>14</v>
      </c>
    </row>
    <row r="1349" spans="1:9">
      <c r="A1349" t="s">
        <v>9</v>
      </c>
      <c r="B1349" t="s">
        <v>10</v>
      </c>
      <c r="C1349">
        <v>65</v>
      </c>
      <c r="D1349" t="s">
        <v>11</v>
      </c>
      <c r="E1349" t="s">
        <v>2462</v>
      </c>
      <c r="F1349" t="s">
        <v>2462</v>
      </c>
      <c r="G1349">
        <v>73338</v>
      </c>
      <c r="H1349" t="s">
        <v>2285</v>
      </c>
      <c r="I1349" t="s">
        <v>14</v>
      </c>
    </row>
    <row r="1350" spans="1:9">
      <c r="A1350" t="s">
        <v>9</v>
      </c>
      <c r="B1350" t="s">
        <v>10</v>
      </c>
      <c r="C1350">
        <v>65</v>
      </c>
      <c r="D1350" t="s">
        <v>11</v>
      </c>
      <c r="E1350" t="s">
        <v>2463</v>
      </c>
      <c r="F1350" t="s">
        <v>2463</v>
      </c>
      <c r="G1350">
        <v>49532</v>
      </c>
      <c r="H1350" t="s">
        <v>2285</v>
      </c>
      <c r="I1350" t="s">
        <v>14</v>
      </c>
    </row>
    <row r="1351" spans="1:9">
      <c r="A1351" t="s">
        <v>9</v>
      </c>
      <c r="B1351" t="s">
        <v>10</v>
      </c>
      <c r="C1351">
        <v>65</v>
      </c>
      <c r="D1351" t="s">
        <v>11</v>
      </c>
      <c r="E1351" t="s">
        <v>2464</v>
      </c>
      <c r="F1351" t="s">
        <v>2464</v>
      </c>
      <c r="G1351">
        <v>125520</v>
      </c>
      <c r="H1351" t="s">
        <v>2285</v>
      </c>
      <c r="I1351" t="s">
        <v>14</v>
      </c>
    </row>
    <row r="1352" spans="1:9">
      <c r="A1352" t="s">
        <v>9</v>
      </c>
      <c r="B1352" t="s">
        <v>10</v>
      </c>
      <c r="C1352">
        <v>65</v>
      </c>
      <c r="D1352" t="s">
        <v>11</v>
      </c>
      <c r="E1352" t="s">
        <v>2465</v>
      </c>
      <c r="F1352" t="s">
        <v>2465</v>
      </c>
      <c r="G1352">
        <v>232177</v>
      </c>
      <c r="H1352" t="s">
        <v>2285</v>
      </c>
      <c r="I1352" t="s">
        <v>14</v>
      </c>
    </row>
    <row r="1353" spans="1:9">
      <c r="A1353" t="s">
        <v>9</v>
      </c>
      <c r="B1353" t="s">
        <v>10</v>
      </c>
      <c r="C1353">
        <v>65</v>
      </c>
      <c r="D1353" t="s">
        <v>11</v>
      </c>
      <c r="E1353" t="s">
        <v>2466</v>
      </c>
      <c r="F1353" t="s">
        <v>2466</v>
      </c>
      <c r="G1353">
        <v>245796</v>
      </c>
      <c r="H1353" t="s">
        <v>2285</v>
      </c>
      <c r="I1353" t="s">
        <v>14</v>
      </c>
    </row>
    <row r="1354" spans="1:9">
      <c r="A1354" t="s">
        <v>9</v>
      </c>
      <c r="B1354" t="s">
        <v>10</v>
      </c>
      <c r="C1354">
        <v>65</v>
      </c>
      <c r="D1354" t="s">
        <v>11</v>
      </c>
      <c r="E1354" t="s">
        <v>2467</v>
      </c>
      <c r="F1354" t="s">
        <v>2467</v>
      </c>
      <c r="G1354">
        <v>98834</v>
      </c>
      <c r="H1354" t="s">
        <v>2285</v>
      </c>
      <c r="I1354" t="s">
        <v>14</v>
      </c>
    </row>
    <row r="1355" spans="1:9">
      <c r="A1355" t="s">
        <v>9</v>
      </c>
      <c r="B1355" t="s">
        <v>10</v>
      </c>
      <c r="C1355">
        <v>65</v>
      </c>
      <c r="D1355" t="s">
        <v>11</v>
      </c>
      <c r="E1355" t="s">
        <v>2468</v>
      </c>
      <c r="F1355" t="s">
        <v>2468</v>
      </c>
      <c r="G1355">
        <v>20235</v>
      </c>
      <c r="H1355" t="s">
        <v>2285</v>
      </c>
      <c r="I1355" t="s">
        <v>14</v>
      </c>
    </row>
    <row r="1356" spans="1:9">
      <c r="A1356" t="s">
        <v>9</v>
      </c>
      <c r="B1356" t="s">
        <v>10</v>
      </c>
      <c r="C1356">
        <v>65</v>
      </c>
      <c r="D1356" t="s">
        <v>11</v>
      </c>
      <c r="E1356" t="s">
        <v>2469</v>
      </c>
      <c r="F1356" t="s">
        <v>2469</v>
      </c>
      <c r="G1356">
        <v>8926</v>
      </c>
      <c r="H1356" t="s">
        <v>2285</v>
      </c>
      <c r="I1356" t="s">
        <v>14</v>
      </c>
    </row>
    <row r="1357" spans="1:9">
      <c r="A1357" t="s">
        <v>9</v>
      </c>
      <c r="B1357" t="s">
        <v>10</v>
      </c>
      <c r="C1357">
        <v>65</v>
      </c>
      <c r="D1357" t="s">
        <v>11</v>
      </c>
      <c r="E1357" t="s">
        <v>2470</v>
      </c>
      <c r="F1357" t="s">
        <v>2470</v>
      </c>
      <c r="G1357">
        <v>4368</v>
      </c>
      <c r="H1357" t="s">
        <v>2285</v>
      </c>
      <c r="I1357" t="s">
        <v>14</v>
      </c>
    </row>
    <row r="1358" spans="1:9">
      <c r="A1358" t="s">
        <v>9</v>
      </c>
      <c r="B1358" t="s">
        <v>10</v>
      </c>
      <c r="C1358">
        <v>65</v>
      </c>
      <c r="D1358" t="s">
        <v>11</v>
      </c>
      <c r="E1358" t="s">
        <v>2471</v>
      </c>
      <c r="F1358" t="s">
        <v>2471</v>
      </c>
      <c r="G1358">
        <v>5276</v>
      </c>
      <c r="H1358" t="s">
        <v>2285</v>
      </c>
      <c r="I1358" t="s">
        <v>14</v>
      </c>
    </row>
    <row r="1359" spans="1:9">
      <c r="A1359" t="s">
        <v>9</v>
      </c>
      <c r="B1359" t="s">
        <v>10</v>
      </c>
      <c r="C1359">
        <v>65</v>
      </c>
      <c r="D1359" t="s">
        <v>11</v>
      </c>
      <c r="E1359" t="s">
        <v>2472</v>
      </c>
      <c r="F1359" t="s">
        <v>2472</v>
      </c>
      <c r="G1359">
        <v>4907</v>
      </c>
      <c r="H1359" t="s">
        <v>2285</v>
      </c>
      <c r="I1359" t="s">
        <v>14</v>
      </c>
    </row>
    <row r="1360" spans="1:9">
      <c r="A1360" t="s">
        <v>9</v>
      </c>
      <c r="B1360" t="s">
        <v>10</v>
      </c>
      <c r="C1360">
        <v>65</v>
      </c>
      <c r="D1360" t="s">
        <v>11</v>
      </c>
      <c r="E1360" t="s">
        <v>2473</v>
      </c>
      <c r="F1360" t="s">
        <v>2473</v>
      </c>
      <c r="G1360">
        <v>5625</v>
      </c>
      <c r="H1360" t="s">
        <v>2285</v>
      </c>
      <c r="I1360" t="s">
        <v>14</v>
      </c>
    </row>
    <row r="1361" spans="1:9">
      <c r="A1361" t="s">
        <v>9</v>
      </c>
      <c r="B1361" t="s">
        <v>10</v>
      </c>
      <c r="C1361">
        <v>65</v>
      </c>
      <c r="D1361" t="s">
        <v>11</v>
      </c>
      <c r="E1361" t="s">
        <v>2474</v>
      </c>
      <c r="F1361" t="s">
        <v>2474</v>
      </c>
      <c r="G1361">
        <v>4159</v>
      </c>
      <c r="H1361" t="s">
        <v>2285</v>
      </c>
      <c r="I1361" t="s">
        <v>14</v>
      </c>
    </row>
    <row r="1362" spans="1:9">
      <c r="A1362" t="s">
        <v>9</v>
      </c>
      <c r="B1362" t="s">
        <v>10</v>
      </c>
      <c r="C1362">
        <v>65</v>
      </c>
      <c r="D1362" t="s">
        <v>11</v>
      </c>
      <c r="E1362" t="s">
        <v>2475</v>
      </c>
      <c r="F1362" t="s">
        <v>2475</v>
      </c>
      <c r="G1362">
        <v>52271</v>
      </c>
      <c r="H1362" t="s">
        <v>2285</v>
      </c>
      <c r="I1362" t="s">
        <v>14</v>
      </c>
    </row>
    <row r="1363" spans="1:9">
      <c r="A1363" t="s">
        <v>9</v>
      </c>
      <c r="B1363" t="s">
        <v>10</v>
      </c>
      <c r="C1363">
        <v>65</v>
      </c>
      <c r="D1363" t="s">
        <v>11</v>
      </c>
      <c r="E1363" t="s">
        <v>2476</v>
      </c>
      <c r="F1363" t="s">
        <v>2476</v>
      </c>
      <c r="G1363">
        <v>94163</v>
      </c>
      <c r="H1363" t="s">
        <v>2285</v>
      </c>
      <c r="I1363" t="s">
        <v>14</v>
      </c>
    </row>
    <row r="1364" spans="1:9">
      <c r="A1364" t="s">
        <v>9</v>
      </c>
      <c r="B1364" t="s">
        <v>10</v>
      </c>
      <c r="C1364">
        <v>65</v>
      </c>
      <c r="D1364" t="s">
        <v>11</v>
      </c>
      <c r="E1364" t="s">
        <v>2477</v>
      </c>
      <c r="F1364" t="s">
        <v>2477</v>
      </c>
      <c r="G1364">
        <v>169165</v>
      </c>
      <c r="H1364" t="s">
        <v>2285</v>
      </c>
      <c r="I1364" t="s">
        <v>14</v>
      </c>
    </row>
    <row r="1365" spans="1:9">
      <c r="A1365" t="s">
        <v>9</v>
      </c>
      <c r="B1365" t="s">
        <v>10</v>
      </c>
      <c r="C1365">
        <v>65</v>
      </c>
      <c r="D1365" t="s">
        <v>11</v>
      </c>
      <c r="E1365" t="s">
        <v>2478</v>
      </c>
      <c r="F1365" t="s">
        <v>2478</v>
      </c>
      <c r="G1365">
        <v>188522</v>
      </c>
      <c r="H1365" t="s">
        <v>2285</v>
      </c>
      <c r="I1365" t="s">
        <v>14</v>
      </c>
    </row>
    <row r="1366" spans="1:9">
      <c r="A1366" t="s">
        <v>9</v>
      </c>
      <c r="B1366" t="s">
        <v>10</v>
      </c>
      <c r="C1366">
        <v>65</v>
      </c>
      <c r="D1366" t="s">
        <v>11</v>
      </c>
      <c r="E1366" t="s">
        <v>2479</v>
      </c>
      <c r="F1366" t="s">
        <v>2479</v>
      </c>
      <c r="G1366">
        <v>54159</v>
      </c>
      <c r="H1366" t="s">
        <v>2285</v>
      </c>
      <c r="I1366" t="s">
        <v>14</v>
      </c>
    </row>
    <row r="1367" spans="1:9">
      <c r="A1367" t="s">
        <v>9</v>
      </c>
      <c r="B1367" t="s">
        <v>10</v>
      </c>
      <c r="C1367">
        <v>65</v>
      </c>
      <c r="D1367" t="s">
        <v>11</v>
      </c>
      <c r="E1367" t="s">
        <v>2480</v>
      </c>
      <c r="F1367" t="s">
        <v>2480</v>
      </c>
      <c r="G1367">
        <v>11508</v>
      </c>
      <c r="H1367" t="s">
        <v>2285</v>
      </c>
      <c r="I1367" t="s">
        <v>14</v>
      </c>
    </row>
    <row r="1368" spans="1:9">
      <c r="A1368" t="s">
        <v>9</v>
      </c>
      <c r="B1368" t="s">
        <v>10</v>
      </c>
      <c r="C1368">
        <v>65</v>
      </c>
      <c r="D1368" t="s">
        <v>11</v>
      </c>
      <c r="E1368" t="s">
        <v>2481</v>
      </c>
      <c r="F1368" t="s">
        <v>2481</v>
      </c>
      <c r="G1368">
        <v>6248</v>
      </c>
      <c r="H1368" t="s">
        <v>2285</v>
      </c>
      <c r="I1368" t="s">
        <v>14</v>
      </c>
    </row>
    <row r="1369" spans="1:9">
      <c r="A1369" t="s">
        <v>9</v>
      </c>
      <c r="B1369" t="s">
        <v>10</v>
      </c>
      <c r="C1369">
        <v>65</v>
      </c>
      <c r="D1369" t="s">
        <v>11</v>
      </c>
      <c r="E1369" t="s">
        <v>2482</v>
      </c>
      <c r="F1369" t="s">
        <v>2482</v>
      </c>
      <c r="G1369">
        <v>4534</v>
      </c>
      <c r="H1369" t="s">
        <v>2285</v>
      </c>
      <c r="I1369" t="s">
        <v>14</v>
      </c>
    </row>
    <row r="1370" spans="1:9">
      <c r="A1370" t="s">
        <v>9</v>
      </c>
      <c r="B1370" t="s">
        <v>10</v>
      </c>
      <c r="C1370">
        <v>65</v>
      </c>
      <c r="D1370" t="s">
        <v>11</v>
      </c>
      <c r="E1370" t="s">
        <v>2483</v>
      </c>
      <c r="F1370" t="s">
        <v>2483</v>
      </c>
      <c r="G1370">
        <v>2646</v>
      </c>
      <c r="H1370" t="s">
        <v>2285</v>
      </c>
      <c r="I1370" t="s">
        <v>14</v>
      </c>
    </row>
    <row r="1371" spans="1:9">
      <c r="A1371" t="s">
        <v>9</v>
      </c>
      <c r="B1371" t="s">
        <v>10</v>
      </c>
      <c r="C1371">
        <v>65</v>
      </c>
      <c r="D1371" t="s">
        <v>11</v>
      </c>
      <c r="E1371" t="s">
        <v>2484</v>
      </c>
      <c r="F1371" t="s">
        <v>2484</v>
      </c>
      <c r="G1371">
        <v>8952</v>
      </c>
      <c r="H1371" t="s">
        <v>2285</v>
      </c>
      <c r="I1371" t="s">
        <v>14</v>
      </c>
    </row>
    <row r="1372" spans="1:9">
      <c r="A1372" t="s">
        <v>9</v>
      </c>
      <c r="B1372" t="s">
        <v>10</v>
      </c>
      <c r="C1372">
        <v>65</v>
      </c>
      <c r="D1372" t="s">
        <v>11</v>
      </c>
      <c r="E1372" t="s">
        <v>2485</v>
      </c>
      <c r="F1372" t="s">
        <v>2485</v>
      </c>
      <c r="G1372">
        <v>69403</v>
      </c>
      <c r="H1372" t="s">
        <v>2285</v>
      </c>
      <c r="I1372" t="s">
        <v>14</v>
      </c>
    </row>
    <row r="1373" spans="1:9">
      <c r="A1373" t="s">
        <v>9</v>
      </c>
      <c r="B1373" t="s">
        <v>10</v>
      </c>
      <c r="C1373">
        <v>65</v>
      </c>
      <c r="D1373" t="s">
        <v>11</v>
      </c>
      <c r="E1373" t="s">
        <v>2486</v>
      </c>
      <c r="F1373" t="s">
        <v>2486</v>
      </c>
      <c r="G1373">
        <v>24724</v>
      </c>
      <c r="H1373" t="s">
        <v>2285</v>
      </c>
      <c r="I1373" t="s">
        <v>14</v>
      </c>
    </row>
    <row r="1374" spans="1:9">
      <c r="A1374" t="s">
        <v>9</v>
      </c>
      <c r="B1374" t="s">
        <v>10</v>
      </c>
      <c r="C1374">
        <v>65</v>
      </c>
      <c r="D1374" t="s">
        <v>11</v>
      </c>
      <c r="E1374" t="s">
        <v>2487</v>
      </c>
      <c r="F1374" t="s">
        <v>2487</v>
      </c>
      <c r="G1374">
        <v>113855</v>
      </c>
      <c r="H1374" t="s">
        <v>2285</v>
      </c>
      <c r="I1374" t="s">
        <v>14</v>
      </c>
    </row>
    <row r="1375" spans="1:9">
      <c r="A1375" t="s">
        <v>9</v>
      </c>
      <c r="B1375" t="s">
        <v>10</v>
      </c>
      <c r="C1375">
        <v>65</v>
      </c>
      <c r="D1375" t="s">
        <v>11</v>
      </c>
      <c r="E1375" t="s">
        <v>2488</v>
      </c>
      <c r="F1375" t="s">
        <v>2488</v>
      </c>
      <c r="G1375">
        <v>57402</v>
      </c>
      <c r="H1375" t="s">
        <v>2285</v>
      </c>
      <c r="I1375" t="s">
        <v>14</v>
      </c>
    </row>
    <row r="1376" spans="1:9">
      <c r="A1376" t="s">
        <v>9</v>
      </c>
      <c r="B1376" t="s">
        <v>10</v>
      </c>
      <c r="C1376">
        <v>65</v>
      </c>
      <c r="D1376" t="s">
        <v>11</v>
      </c>
      <c r="E1376" t="s">
        <v>2489</v>
      </c>
      <c r="F1376" t="s">
        <v>2489</v>
      </c>
      <c r="G1376">
        <v>85227</v>
      </c>
      <c r="H1376" t="s">
        <v>2285</v>
      </c>
      <c r="I1376" t="s">
        <v>14</v>
      </c>
    </row>
    <row r="1377" spans="1:9">
      <c r="A1377" t="s">
        <v>9</v>
      </c>
      <c r="B1377" t="s">
        <v>10</v>
      </c>
      <c r="C1377">
        <v>65</v>
      </c>
      <c r="D1377" t="s">
        <v>11</v>
      </c>
      <c r="E1377" t="s">
        <v>2490</v>
      </c>
      <c r="F1377" t="s">
        <v>2490</v>
      </c>
      <c r="G1377">
        <v>143894</v>
      </c>
      <c r="H1377" t="s">
        <v>2351</v>
      </c>
      <c r="I1377" t="s">
        <v>14</v>
      </c>
    </row>
    <row r="1378" spans="1:9">
      <c r="A1378" t="s">
        <v>9</v>
      </c>
      <c r="B1378" t="s">
        <v>10</v>
      </c>
      <c r="C1378">
        <v>65</v>
      </c>
      <c r="D1378" t="s">
        <v>11</v>
      </c>
      <c r="E1378" t="s">
        <v>2491</v>
      </c>
      <c r="F1378" t="s">
        <v>2491</v>
      </c>
      <c r="G1378">
        <v>61731</v>
      </c>
      <c r="H1378" t="s">
        <v>2285</v>
      </c>
      <c r="I1378" t="s">
        <v>14</v>
      </c>
    </row>
    <row r="1379" spans="1:9">
      <c r="A1379" t="s">
        <v>9</v>
      </c>
      <c r="B1379" t="s">
        <v>10</v>
      </c>
      <c r="C1379">
        <v>65</v>
      </c>
      <c r="D1379" t="s">
        <v>11</v>
      </c>
      <c r="E1379" t="s">
        <v>2492</v>
      </c>
      <c r="F1379" t="s">
        <v>2492</v>
      </c>
      <c r="G1379">
        <v>17100</v>
      </c>
      <c r="H1379" t="s">
        <v>2285</v>
      </c>
      <c r="I1379" t="s">
        <v>14</v>
      </c>
    </row>
    <row r="1380" spans="1:9">
      <c r="A1380" t="s">
        <v>9</v>
      </c>
      <c r="B1380" t="s">
        <v>10</v>
      </c>
      <c r="C1380">
        <v>65</v>
      </c>
      <c r="D1380" t="s">
        <v>11</v>
      </c>
      <c r="E1380" t="s">
        <v>2493</v>
      </c>
      <c r="F1380" t="s">
        <v>2493</v>
      </c>
      <c r="G1380">
        <v>7466</v>
      </c>
      <c r="H1380" t="s">
        <v>2285</v>
      </c>
      <c r="I1380" t="s">
        <v>14</v>
      </c>
    </row>
    <row r="1381" spans="1:9">
      <c r="A1381" t="s">
        <v>9</v>
      </c>
      <c r="B1381" t="s">
        <v>10</v>
      </c>
      <c r="C1381">
        <v>65</v>
      </c>
      <c r="D1381" t="s">
        <v>11</v>
      </c>
      <c r="E1381" t="s">
        <v>2494</v>
      </c>
      <c r="F1381" t="s">
        <v>2494</v>
      </c>
      <c r="G1381">
        <v>6458</v>
      </c>
      <c r="H1381" t="s">
        <v>2285</v>
      </c>
      <c r="I1381" t="s">
        <v>14</v>
      </c>
    </row>
    <row r="1382" spans="1:9">
      <c r="A1382" t="s">
        <v>9</v>
      </c>
      <c r="B1382" t="s">
        <v>10</v>
      </c>
      <c r="C1382">
        <v>65</v>
      </c>
      <c r="D1382" t="s">
        <v>11</v>
      </c>
      <c r="E1382" t="s">
        <v>2495</v>
      </c>
      <c r="F1382" t="s">
        <v>2495</v>
      </c>
      <c r="G1382">
        <v>10667</v>
      </c>
      <c r="H1382" t="s">
        <v>2285</v>
      </c>
      <c r="I1382" t="s">
        <v>14</v>
      </c>
    </row>
    <row r="1383" spans="1:9">
      <c r="A1383" t="s">
        <v>9</v>
      </c>
      <c r="B1383" t="s">
        <v>10</v>
      </c>
      <c r="C1383">
        <v>65</v>
      </c>
      <c r="D1383" t="s">
        <v>11</v>
      </c>
      <c r="E1383" t="s">
        <v>2496</v>
      </c>
      <c r="F1383" t="s">
        <v>2496</v>
      </c>
      <c r="G1383">
        <v>37500</v>
      </c>
      <c r="H1383" t="s">
        <v>2285</v>
      </c>
      <c r="I1383" t="s">
        <v>14</v>
      </c>
    </row>
    <row r="1384" spans="1:9">
      <c r="A1384" t="s">
        <v>9</v>
      </c>
      <c r="B1384" t="s">
        <v>10</v>
      </c>
      <c r="C1384">
        <v>65</v>
      </c>
      <c r="D1384" t="s">
        <v>11</v>
      </c>
      <c r="E1384" t="s">
        <v>2497</v>
      </c>
      <c r="F1384" t="s">
        <v>2497</v>
      </c>
      <c r="G1384">
        <v>100187</v>
      </c>
      <c r="H1384" t="s">
        <v>2285</v>
      </c>
      <c r="I1384" t="s">
        <v>14</v>
      </c>
    </row>
    <row r="1385" spans="1:9">
      <c r="A1385" t="s">
        <v>9</v>
      </c>
      <c r="B1385" t="s">
        <v>10</v>
      </c>
      <c r="C1385">
        <v>65</v>
      </c>
      <c r="D1385" t="s">
        <v>11</v>
      </c>
      <c r="E1385" t="s">
        <v>2498</v>
      </c>
      <c r="F1385" t="s">
        <v>2498</v>
      </c>
      <c r="G1385">
        <v>150011</v>
      </c>
      <c r="H1385" t="s">
        <v>2285</v>
      </c>
      <c r="I1385" t="s">
        <v>14</v>
      </c>
    </row>
    <row r="1386" spans="1:9">
      <c r="A1386" t="s">
        <v>9</v>
      </c>
      <c r="B1386" t="s">
        <v>10</v>
      </c>
      <c r="C1386">
        <v>65</v>
      </c>
      <c r="D1386" t="s">
        <v>11</v>
      </c>
      <c r="E1386" t="s">
        <v>2499</v>
      </c>
      <c r="F1386" t="s">
        <v>2499</v>
      </c>
      <c r="G1386">
        <v>144145</v>
      </c>
      <c r="H1386" t="s">
        <v>2285</v>
      </c>
      <c r="I1386" t="s">
        <v>14</v>
      </c>
    </row>
    <row r="1387" spans="1:9">
      <c r="A1387" t="s">
        <v>9</v>
      </c>
      <c r="B1387" t="s">
        <v>10</v>
      </c>
      <c r="C1387">
        <v>65</v>
      </c>
      <c r="D1387" t="s">
        <v>11</v>
      </c>
      <c r="E1387" t="s">
        <v>2500</v>
      </c>
      <c r="F1387" t="s">
        <v>2500</v>
      </c>
      <c r="G1387">
        <v>341323</v>
      </c>
      <c r="H1387" t="s">
        <v>2285</v>
      </c>
      <c r="I1387" t="s">
        <v>14</v>
      </c>
    </row>
    <row r="1388" spans="1:9">
      <c r="A1388" t="s">
        <v>9</v>
      </c>
      <c r="B1388" t="s">
        <v>10</v>
      </c>
      <c r="C1388">
        <v>65</v>
      </c>
      <c r="D1388" t="s">
        <v>11</v>
      </c>
      <c r="E1388" t="s">
        <v>2501</v>
      </c>
      <c r="F1388" t="s">
        <v>2501</v>
      </c>
      <c r="G1388">
        <v>318979</v>
      </c>
      <c r="H1388" t="s">
        <v>2285</v>
      </c>
      <c r="I1388" t="s">
        <v>14</v>
      </c>
    </row>
    <row r="1389" spans="1:9">
      <c r="A1389" t="s">
        <v>9</v>
      </c>
      <c r="B1389" t="s">
        <v>10</v>
      </c>
      <c r="C1389">
        <v>65</v>
      </c>
      <c r="D1389" t="s">
        <v>11</v>
      </c>
      <c r="E1389" t="s">
        <v>2502</v>
      </c>
      <c r="F1389" t="s">
        <v>2502</v>
      </c>
      <c r="G1389">
        <v>362149</v>
      </c>
      <c r="H1389" t="s">
        <v>2285</v>
      </c>
      <c r="I1389" t="s">
        <v>14</v>
      </c>
    </row>
    <row r="1390" spans="1:9">
      <c r="A1390" t="s">
        <v>9</v>
      </c>
      <c r="B1390" t="s">
        <v>10</v>
      </c>
      <c r="C1390">
        <v>65</v>
      </c>
      <c r="D1390" t="s">
        <v>11</v>
      </c>
      <c r="E1390" t="s">
        <v>2503</v>
      </c>
      <c r="F1390" t="s">
        <v>2503</v>
      </c>
      <c r="G1390">
        <v>295034</v>
      </c>
      <c r="H1390" t="s">
        <v>2285</v>
      </c>
      <c r="I1390" t="s">
        <v>14</v>
      </c>
    </row>
    <row r="1391" spans="1:9">
      <c r="A1391" t="s">
        <v>9</v>
      </c>
      <c r="B1391" t="s">
        <v>10</v>
      </c>
      <c r="C1391">
        <v>65</v>
      </c>
      <c r="D1391" t="s">
        <v>11</v>
      </c>
      <c r="E1391" t="s">
        <v>2504</v>
      </c>
      <c r="F1391" t="s">
        <v>2504</v>
      </c>
      <c r="G1391">
        <v>43915</v>
      </c>
      <c r="H1391" t="s">
        <v>2285</v>
      </c>
      <c r="I1391" t="s">
        <v>14</v>
      </c>
    </row>
    <row r="1392" spans="1:9">
      <c r="A1392" t="s">
        <v>9</v>
      </c>
      <c r="B1392" t="s">
        <v>10</v>
      </c>
      <c r="C1392">
        <v>65</v>
      </c>
      <c r="D1392" t="s">
        <v>11</v>
      </c>
      <c r="E1392" t="s">
        <v>2505</v>
      </c>
      <c r="F1392" t="s">
        <v>2505</v>
      </c>
      <c r="G1392">
        <v>9681</v>
      </c>
      <c r="H1392" t="s">
        <v>2285</v>
      </c>
      <c r="I1392" t="s">
        <v>14</v>
      </c>
    </row>
    <row r="1393" spans="1:9">
      <c r="A1393" t="s">
        <v>9</v>
      </c>
      <c r="B1393" t="s">
        <v>10</v>
      </c>
      <c r="C1393">
        <v>65</v>
      </c>
      <c r="D1393" t="s">
        <v>11</v>
      </c>
      <c r="E1393" t="s">
        <v>2506</v>
      </c>
      <c r="F1393" t="s">
        <v>2506</v>
      </c>
      <c r="G1393">
        <v>5028</v>
      </c>
      <c r="H1393" t="s">
        <v>2285</v>
      </c>
      <c r="I1393" t="s">
        <v>14</v>
      </c>
    </row>
    <row r="1394" spans="1:9">
      <c r="A1394" t="s">
        <v>9</v>
      </c>
      <c r="B1394" t="s">
        <v>10</v>
      </c>
      <c r="C1394">
        <v>65</v>
      </c>
      <c r="D1394" t="s">
        <v>11</v>
      </c>
      <c r="E1394" t="s">
        <v>2507</v>
      </c>
      <c r="F1394" t="s">
        <v>2507</v>
      </c>
      <c r="G1394">
        <v>129128</v>
      </c>
      <c r="H1394" t="s">
        <v>2285</v>
      </c>
      <c r="I1394" t="s">
        <v>14</v>
      </c>
    </row>
    <row r="1395" spans="1:9">
      <c r="A1395" t="s">
        <v>9</v>
      </c>
      <c r="B1395" t="s">
        <v>10</v>
      </c>
      <c r="C1395">
        <v>65</v>
      </c>
      <c r="D1395" t="s">
        <v>11</v>
      </c>
      <c r="E1395" t="s">
        <v>2508</v>
      </c>
      <c r="F1395" t="s">
        <v>2508</v>
      </c>
      <c r="G1395">
        <v>64517</v>
      </c>
      <c r="H1395" t="s">
        <v>2285</v>
      </c>
      <c r="I1395" t="s">
        <v>14</v>
      </c>
    </row>
    <row r="1396" spans="1:9">
      <c r="A1396" t="s">
        <v>9</v>
      </c>
      <c r="B1396" t="s">
        <v>10</v>
      </c>
      <c r="C1396">
        <v>65</v>
      </c>
      <c r="D1396" t="s">
        <v>11</v>
      </c>
      <c r="E1396" t="s">
        <v>2509</v>
      </c>
      <c r="F1396" t="s">
        <v>2509</v>
      </c>
      <c r="G1396">
        <v>198421</v>
      </c>
      <c r="H1396" t="s">
        <v>2285</v>
      </c>
      <c r="I1396" t="s">
        <v>14</v>
      </c>
    </row>
    <row r="1397" spans="1:9">
      <c r="A1397" t="s">
        <v>9</v>
      </c>
      <c r="B1397" t="s">
        <v>10</v>
      </c>
      <c r="C1397">
        <v>65</v>
      </c>
      <c r="D1397" t="s">
        <v>11</v>
      </c>
      <c r="E1397" t="s">
        <v>2510</v>
      </c>
      <c r="F1397" t="s">
        <v>2510</v>
      </c>
      <c r="G1397">
        <v>655646</v>
      </c>
      <c r="H1397" t="s">
        <v>2285</v>
      </c>
      <c r="I1397" t="s">
        <v>14</v>
      </c>
    </row>
    <row r="1398" spans="1:9">
      <c r="A1398" t="s">
        <v>9</v>
      </c>
      <c r="B1398" t="s">
        <v>10</v>
      </c>
      <c r="C1398">
        <v>65</v>
      </c>
      <c r="D1398" t="s">
        <v>11</v>
      </c>
      <c r="E1398" t="s">
        <v>2511</v>
      </c>
      <c r="F1398" t="s">
        <v>2511</v>
      </c>
      <c r="G1398">
        <v>829430</v>
      </c>
      <c r="H1398" t="s">
        <v>2285</v>
      </c>
      <c r="I1398" t="s">
        <v>14</v>
      </c>
    </row>
    <row r="1399" spans="1:9">
      <c r="A1399" t="s">
        <v>9</v>
      </c>
      <c r="B1399" t="s">
        <v>10</v>
      </c>
      <c r="C1399">
        <v>65</v>
      </c>
      <c r="D1399" t="s">
        <v>11</v>
      </c>
      <c r="E1399" t="s">
        <v>2512</v>
      </c>
      <c r="F1399" t="s">
        <v>2512</v>
      </c>
      <c r="G1399">
        <v>399705</v>
      </c>
      <c r="H1399" t="s">
        <v>2285</v>
      </c>
      <c r="I1399" t="s">
        <v>14</v>
      </c>
    </row>
    <row r="1400" spans="1:9">
      <c r="A1400" t="s">
        <v>9</v>
      </c>
      <c r="B1400" t="s">
        <v>10</v>
      </c>
      <c r="C1400">
        <v>65</v>
      </c>
      <c r="D1400" t="s">
        <v>11</v>
      </c>
      <c r="E1400" t="s">
        <v>2513</v>
      </c>
      <c r="F1400" t="s">
        <v>2513</v>
      </c>
      <c r="G1400">
        <v>525691</v>
      </c>
      <c r="H1400" t="s">
        <v>2285</v>
      </c>
      <c r="I1400" t="s">
        <v>14</v>
      </c>
    </row>
    <row r="1401" spans="1:9">
      <c r="A1401" t="s">
        <v>9</v>
      </c>
      <c r="B1401" t="s">
        <v>10</v>
      </c>
      <c r="C1401">
        <v>65</v>
      </c>
      <c r="D1401" t="s">
        <v>11</v>
      </c>
      <c r="E1401" t="s">
        <v>2514</v>
      </c>
      <c r="F1401" t="s">
        <v>2514</v>
      </c>
      <c r="G1401">
        <v>768528</v>
      </c>
      <c r="H1401" t="s">
        <v>2285</v>
      </c>
      <c r="I1401" t="s">
        <v>14</v>
      </c>
    </row>
    <row r="1402" spans="1:9">
      <c r="A1402" t="s">
        <v>9</v>
      </c>
      <c r="B1402" t="s">
        <v>10</v>
      </c>
      <c r="C1402">
        <v>65</v>
      </c>
      <c r="D1402" t="s">
        <v>11</v>
      </c>
      <c r="E1402" t="s">
        <v>2515</v>
      </c>
      <c r="F1402" t="s">
        <v>2515</v>
      </c>
      <c r="G1402">
        <v>807570</v>
      </c>
      <c r="H1402" t="s">
        <v>2285</v>
      </c>
      <c r="I1402" t="s">
        <v>14</v>
      </c>
    </row>
    <row r="1403" spans="1:9">
      <c r="A1403" t="s">
        <v>9</v>
      </c>
      <c r="B1403" t="s">
        <v>10</v>
      </c>
      <c r="C1403">
        <v>65</v>
      </c>
      <c r="D1403" t="s">
        <v>11</v>
      </c>
      <c r="E1403" t="s">
        <v>2516</v>
      </c>
      <c r="F1403" t="s">
        <v>2516</v>
      </c>
      <c r="G1403">
        <v>352380</v>
      </c>
      <c r="H1403" t="s">
        <v>2285</v>
      </c>
      <c r="I1403" t="s">
        <v>14</v>
      </c>
    </row>
    <row r="1404" spans="1:9">
      <c r="A1404" t="s">
        <v>9</v>
      </c>
      <c r="B1404" t="s">
        <v>10</v>
      </c>
      <c r="C1404">
        <v>65</v>
      </c>
      <c r="D1404" t="s">
        <v>11</v>
      </c>
      <c r="E1404" t="s">
        <v>2517</v>
      </c>
      <c r="F1404" t="s">
        <v>2517</v>
      </c>
      <c r="G1404">
        <v>88512</v>
      </c>
      <c r="H1404" t="s">
        <v>2285</v>
      </c>
      <c r="I1404" t="s">
        <v>14</v>
      </c>
    </row>
    <row r="1405" spans="1:9">
      <c r="A1405" t="s">
        <v>9</v>
      </c>
      <c r="B1405" t="s">
        <v>10</v>
      </c>
      <c r="C1405">
        <v>65</v>
      </c>
      <c r="D1405" t="s">
        <v>11</v>
      </c>
      <c r="E1405" t="s">
        <v>2518</v>
      </c>
      <c r="F1405" t="s">
        <v>2518</v>
      </c>
      <c r="G1405">
        <v>42581</v>
      </c>
      <c r="H1405" t="s">
        <v>2285</v>
      </c>
      <c r="I1405" t="s">
        <v>14</v>
      </c>
    </row>
    <row r="1406" spans="1:9">
      <c r="A1406" t="s">
        <v>9</v>
      </c>
      <c r="B1406" t="s">
        <v>10</v>
      </c>
      <c r="C1406">
        <v>65</v>
      </c>
      <c r="D1406" t="s">
        <v>11</v>
      </c>
      <c r="E1406" t="s">
        <v>2519</v>
      </c>
      <c r="F1406" t="s">
        <v>2519</v>
      </c>
      <c r="G1406">
        <v>26571</v>
      </c>
      <c r="H1406" t="s">
        <v>2285</v>
      </c>
      <c r="I1406" t="s">
        <v>14</v>
      </c>
    </row>
    <row r="1407" spans="1:9">
      <c r="A1407" t="s">
        <v>9</v>
      </c>
      <c r="B1407" t="s">
        <v>10</v>
      </c>
      <c r="C1407">
        <v>65</v>
      </c>
      <c r="D1407" t="s">
        <v>11</v>
      </c>
      <c r="E1407" t="s">
        <v>2520</v>
      </c>
      <c r="F1407" t="s">
        <v>2520</v>
      </c>
      <c r="G1407">
        <v>93225</v>
      </c>
      <c r="H1407" t="s">
        <v>2285</v>
      </c>
      <c r="I1407" t="s">
        <v>14</v>
      </c>
    </row>
    <row r="1408" spans="1:9">
      <c r="A1408" t="s">
        <v>9</v>
      </c>
      <c r="B1408" t="s">
        <v>10</v>
      </c>
      <c r="C1408">
        <v>65</v>
      </c>
      <c r="D1408" t="s">
        <v>11</v>
      </c>
      <c r="E1408" t="s">
        <v>2521</v>
      </c>
      <c r="F1408" t="s">
        <v>2521</v>
      </c>
      <c r="G1408">
        <v>32091</v>
      </c>
      <c r="H1408" t="s">
        <v>2285</v>
      </c>
      <c r="I1408" t="s">
        <v>14</v>
      </c>
    </row>
    <row r="1409" spans="1:9">
      <c r="A1409" t="s">
        <v>9</v>
      </c>
      <c r="B1409" t="s">
        <v>10</v>
      </c>
      <c r="C1409">
        <v>65</v>
      </c>
      <c r="D1409" t="s">
        <v>11</v>
      </c>
      <c r="E1409" t="s">
        <v>2522</v>
      </c>
      <c r="F1409" t="s">
        <v>2522</v>
      </c>
      <c r="G1409">
        <v>77490</v>
      </c>
      <c r="H1409" t="s">
        <v>2285</v>
      </c>
      <c r="I1409" t="s">
        <v>14</v>
      </c>
    </row>
    <row r="1410" spans="1:9">
      <c r="A1410" t="s">
        <v>9</v>
      </c>
      <c r="B1410" t="s">
        <v>10</v>
      </c>
      <c r="C1410">
        <v>65</v>
      </c>
      <c r="D1410" t="s">
        <v>11</v>
      </c>
      <c r="E1410" t="s">
        <v>2523</v>
      </c>
      <c r="F1410" t="s">
        <v>2523</v>
      </c>
      <c r="G1410">
        <v>34443</v>
      </c>
      <c r="H1410" t="s">
        <v>2285</v>
      </c>
      <c r="I1410" t="s">
        <v>14</v>
      </c>
    </row>
    <row r="1411" spans="1:9">
      <c r="A1411" t="s">
        <v>9</v>
      </c>
      <c r="B1411" t="s">
        <v>10</v>
      </c>
      <c r="C1411">
        <v>65</v>
      </c>
      <c r="D1411" t="s">
        <v>11</v>
      </c>
      <c r="E1411" t="s">
        <v>2524</v>
      </c>
      <c r="F1411" t="s">
        <v>2524</v>
      </c>
      <c r="G1411">
        <v>356838</v>
      </c>
      <c r="H1411" t="s">
        <v>2285</v>
      </c>
      <c r="I1411" t="s">
        <v>14</v>
      </c>
    </row>
    <row r="1412" spans="1:9">
      <c r="A1412" t="s">
        <v>9</v>
      </c>
      <c r="B1412" t="s">
        <v>10</v>
      </c>
      <c r="C1412">
        <v>65</v>
      </c>
      <c r="D1412" t="s">
        <v>11</v>
      </c>
      <c r="E1412" t="s">
        <v>2525</v>
      </c>
      <c r="F1412" t="s">
        <v>2525</v>
      </c>
      <c r="G1412">
        <v>473905</v>
      </c>
      <c r="H1412" t="s">
        <v>2285</v>
      </c>
      <c r="I1412" t="s">
        <v>14</v>
      </c>
    </row>
    <row r="1413" spans="1:9">
      <c r="A1413" t="s">
        <v>9</v>
      </c>
      <c r="B1413" t="s">
        <v>10</v>
      </c>
      <c r="C1413">
        <v>65</v>
      </c>
      <c r="D1413" t="s">
        <v>11</v>
      </c>
      <c r="E1413" t="s">
        <v>2526</v>
      </c>
      <c r="F1413" t="s">
        <v>2526</v>
      </c>
      <c r="G1413">
        <v>348076</v>
      </c>
      <c r="H1413" t="s">
        <v>2285</v>
      </c>
      <c r="I1413" t="s">
        <v>14</v>
      </c>
    </row>
    <row r="1414" spans="1:9">
      <c r="A1414" t="s">
        <v>9</v>
      </c>
      <c r="B1414" t="s">
        <v>10</v>
      </c>
      <c r="C1414">
        <v>65</v>
      </c>
      <c r="D1414" t="s">
        <v>11</v>
      </c>
      <c r="E1414" t="s">
        <v>2527</v>
      </c>
      <c r="F1414" t="s">
        <v>2527</v>
      </c>
      <c r="G1414">
        <v>154806</v>
      </c>
      <c r="H1414" t="s">
        <v>2285</v>
      </c>
      <c r="I1414" t="s">
        <v>14</v>
      </c>
    </row>
    <row r="1415" spans="1:9">
      <c r="A1415" t="s">
        <v>9</v>
      </c>
      <c r="B1415" t="s">
        <v>10</v>
      </c>
      <c r="C1415">
        <v>65</v>
      </c>
      <c r="D1415" t="s">
        <v>11</v>
      </c>
      <c r="E1415" t="s">
        <v>2528</v>
      </c>
      <c r="F1415" t="s">
        <v>2528</v>
      </c>
      <c r="G1415">
        <v>34840</v>
      </c>
      <c r="H1415" t="s">
        <v>2285</v>
      </c>
      <c r="I1415" t="s">
        <v>14</v>
      </c>
    </row>
    <row r="1416" spans="1:9">
      <c r="A1416" t="s">
        <v>9</v>
      </c>
      <c r="B1416" t="s">
        <v>10</v>
      </c>
      <c r="C1416">
        <v>65</v>
      </c>
      <c r="D1416" t="s">
        <v>11</v>
      </c>
      <c r="E1416" t="s">
        <v>2529</v>
      </c>
      <c r="F1416" t="s">
        <v>2529</v>
      </c>
      <c r="G1416">
        <v>22334</v>
      </c>
      <c r="H1416" t="s">
        <v>2285</v>
      </c>
      <c r="I1416" t="s">
        <v>14</v>
      </c>
    </row>
    <row r="1417" spans="1:9">
      <c r="A1417" t="s">
        <v>9</v>
      </c>
      <c r="B1417" t="s">
        <v>10</v>
      </c>
      <c r="C1417">
        <v>65</v>
      </c>
      <c r="D1417" t="s">
        <v>11</v>
      </c>
      <c r="E1417" t="s">
        <v>2530</v>
      </c>
      <c r="F1417" t="s">
        <v>2530</v>
      </c>
      <c r="G1417">
        <v>18276</v>
      </c>
      <c r="H1417" t="s">
        <v>2285</v>
      </c>
      <c r="I1417" t="s">
        <v>14</v>
      </c>
    </row>
    <row r="1418" spans="1:9">
      <c r="A1418" t="s">
        <v>9</v>
      </c>
      <c r="B1418" t="s">
        <v>10</v>
      </c>
      <c r="C1418">
        <v>65</v>
      </c>
      <c r="D1418" t="s">
        <v>11</v>
      </c>
      <c r="E1418" t="s">
        <v>2531</v>
      </c>
      <c r="F1418" t="s">
        <v>2531</v>
      </c>
      <c r="G1418">
        <v>14116</v>
      </c>
      <c r="H1418" t="s">
        <v>2285</v>
      </c>
      <c r="I1418" t="s">
        <v>14</v>
      </c>
    </row>
    <row r="1419" spans="1:9">
      <c r="A1419" t="s">
        <v>9</v>
      </c>
      <c r="B1419" t="s">
        <v>10</v>
      </c>
      <c r="C1419">
        <v>65</v>
      </c>
      <c r="D1419" t="s">
        <v>11</v>
      </c>
      <c r="E1419" t="s">
        <v>2532</v>
      </c>
      <c r="F1419" t="s">
        <v>2532</v>
      </c>
      <c r="G1419">
        <v>24704</v>
      </c>
      <c r="H1419" t="s">
        <v>2285</v>
      </c>
      <c r="I1419" t="s">
        <v>14</v>
      </c>
    </row>
    <row r="1420" spans="1:9">
      <c r="A1420" t="s">
        <v>9</v>
      </c>
      <c r="B1420" t="s">
        <v>10</v>
      </c>
      <c r="C1420">
        <v>65</v>
      </c>
      <c r="D1420" t="s">
        <v>11</v>
      </c>
      <c r="E1420" t="s">
        <v>2533</v>
      </c>
      <c r="F1420" t="s">
        <v>2533</v>
      </c>
      <c r="G1420">
        <v>41679</v>
      </c>
      <c r="H1420" t="s">
        <v>2285</v>
      </c>
      <c r="I1420" t="s">
        <v>14</v>
      </c>
    </row>
    <row r="1421" spans="1:9">
      <c r="A1421" t="s">
        <v>9</v>
      </c>
      <c r="B1421" t="s">
        <v>10</v>
      </c>
      <c r="C1421">
        <v>65</v>
      </c>
      <c r="D1421" t="s">
        <v>11</v>
      </c>
      <c r="E1421" t="s">
        <v>2534</v>
      </c>
      <c r="F1421" t="s">
        <v>2534</v>
      </c>
      <c r="G1421">
        <v>118197</v>
      </c>
      <c r="H1421" t="s">
        <v>2285</v>
      </c>
      <c r="I1421" t="s">
        <v>14</v>
      </c>
    </row>
    <row r="1422" spans="1:9">
      <c r="A1422" t="s">
        <v>9</v>
      </c>
      <c r="B1422" t="s">
        <v>10</v>
      </c>
      <c r="C1422">
        <v>65</v>
      </c>
      <c r="D1422" t="s">
        <v>11</v>
      </c>
      <c r="E1422" t="s">
        <v>2535</v>
      </c>
      <c r="F1422" t="s">
        <v>2535</v>
      </c>
      <c r="G1422">
        <v>344180</v>
      </c>
      <c r="H1422" t="s">
        <v>2285</v>
      </c>
      <c r="I1422" t="s">
        <v>14</v>
      </c>
    </row>
    <row r="1423" spans="1:9">
      <c r="A1423" t="s">
        <v>9</v>
      </c>
      <c r="B1423" t="s">
        <v>10</v>
      </c>
      <c r="C1423">
        <v>65</v>
      </c>
      <c r="D1423" t="s">
        <v>11</v>
      </c>
      <c r="E1423" t="s">
        <v>2536</v>
      </c>
      <c r="F1423" t="s">
        <v>2536</v>
      </c>
      <c r="G1423">
        <v>364538</v>
      </c>
      <c r="H1423" t="s">
        <v>2285</v>
      </c>
      <c r="I1423" t="s">
        <v>14</v>
      </c>
    </row>
    <row r="1424" spans="1:9">
      <c r="A1424" t="s">
        <v>9</v>
      </c>
      <c r="B1424" t="s">
        <v>10</v>
      </c>
      <c r="C1424">
        <v>65</v>
      </c>
      <c r="D1424" t="s">
        <v>11</v>
      </c>
      <c r="E1424" t="s">
        <v>2537</v>
      </c>
      <c r="F1424" t="s">
        <v>2537</v>
      </c>
      <c r="G1424">
        <v>449611</v>
      </c>
      <c r="H1424" t="s">
        <v>2285</v>
      </c>
      <c r="I1424" t="s">
        <v>14</v>
      </c>
    </row>
    <row r="1425" spans="1:9">
      <c r="A1425" t="s">
        <v>9</v>
      </c>
      <c r="B1425" t="s">
        <v>10</v>
      </c>
      <c r="C1425">
        <v>65</v>
      </c>
      <c r="D1425" t="s">
        <v>11</v>
      </c>
      <c r="E1425" t="s">
        <v>2538</v>
      </c>
      <c r="F1425" t="s">
        <v>2538</v>
      </c>
      <c r="G1425">
        <v>565539</v>
      </c>
      <c r="H1425" t="s">
        <v>2285</v>
      </c>
      <c r="I1425" t="s">
        <v>14</v>
      </c>
    </row>
    <row r="1426" spans="1:9">
      <c r="A1426" t="s">
        <v>9</v>
      </c>
      <c r="B1426" t="s">
        <v>10</v>
      </c>
      <c r="C1426">
        <v>65</v>
      </c>
      <c r="D1426" t="s">
        <v>11</v>
      </c>
      <c r="E1426" t="s">
        <v>2539</v>
      </c>
      <c r="F1426" t="s">
        <v>2539</v>
      </c>
      <c r="G1426">
        <v>730328</v>
      </c>
      <c r="H1426" t="s">
        <v>2285</v>
      </c>
      <c r="I1426" t="s">
        <v>14</v>
      </c>
    </row>
    <row r="1427" spans="1:9">
      <c r="A1427" t="s">
        <v>9</v>
      </c>
      <c r="B1427" t="s">
        <v>10</v>
      </c>
      <c r="C1427">
        <v>65</v>
      </c>
      <c r="D1427" t="s">
        <v>11</v>
      </c>
      <c r="E1427" t="s">
        <v>2540</v>
      </c>
      <c r="F1427" t="s">
        <v>2540</v>
      </c>
      <c r="G1427">
        <v>244698</v>
      </c>
      <c r="H1427" t="s">
        <v>2285</v>
      </c>
      <c r="I1427" t="s">
        <v>14</v>
      </c>
    </row>
    <row r="1428" spans="1:9">
      <c r="A1428" t="s">
        <v>9</v>
      </c>
      <c r="B1428" t="s">
        <v>10</v>
      </c>
      <c r="C1428">
        <v>65</v>
      </c>
      <c r="D1428" t="s">
        <v>11</v>
      </c>
      <c r="E1428" t="s">
        <v>2541</v>
      </c>
      <c r="F1428" t="s">
        <v>2541</v>
      </c>
      <c r="G1428">
        <v>53542</v>
      </c>
      <c r="H1428" t="s">
        <v>2285</v>
      </c>
      <c r="I1428" t="s">
        <v>14</v>
      </c>
    </row>
    <row r="1429" spans="1:9">
      <c r="A1429" t="s">
        <v>9</v>
      </c>
      <c r="B1429" t="s">
        <v>10</v>
      </c>
      <c r="C1429">
        <v>65</v>
      </c>
      <c r="D1429" t="s">
        <v>11</v>
      </c>
      <c r="E1429" t="s">
        <v>2542</v>
      </c>
      <c r="F1429" t="s">
        <v>2542</v>
      </c>
      <c r="G1429">
        <v>32908</v>
      </c>
      <c r="H1429" t="s">
        <v>2285</v>
      </c>
      <c r="I1429" t="s">
        <v>14</v>
      </c>
    </row>
    <row r="1430" spans="1:9">
      <c r="A1430" t="s">
        <v>9</v>
      </c>
      <c r="B1430" t="s">
        <v>10</v>
      </c>
      <c r="C1430">
        <v>65</v>
      </c>
      <c r="D1430" t="s">
        <v>11</v>
      </c>
      <c r="E1430" t="s">
        <v>2543</v>
      </c>
      <c r="F1430" t="s">
        <v>2543</v>
      </c>
      <c r="G1430">
        <v>23649</v>
      </c>
      <c r="H1430" t="s">
        <v>2285</v>
      </c>
      <c r="I1430" t="s">
        <v>14</v>
      </c>
    </row>
    <row r="1431" spans="1:9">
      <c r="A1431" t="s">
        <v>9</v>
      </c>
      <c r="B1431" t="s">
        <v>10</v>
      </c>
      <c r="C1431">
        <v>65</v>
      </c>
      <c r="D1431" t="s">
        <v>11</v>
      </c>
      <c r="E1431" t="s">
        <v>2544</v>
      </c>
      <c r="F1431" t="s">
        <v>2544</v>
      </c>
      <c r="G1431">
        <v>12645</v>
      </c>
      <c r="H1431" t="s">
        <v>2285</v>
      </c>
      <c r="I1431" t="s">
        <v>14</v>
      </c>
    </row>
    <row r="1432" spans="1:9">
      <c r="A1432" t="s">
        <v>9</v>
      </c>
      <c r="B1432" t="s">
        <v>10</v>
      </c>
      <c r="C1432">
        <v>65</v>
      </c>
      <c r="D1432" t="s">
        <v>11</v>
      </c>
      <c r="E1432" t="s">
        <v>2545</v>
      </c>
      <c r="F1432" t="s">
        <v>2545</v>
      </c>
      <c r="G1432">
        <v>71394</v>
      </c>
      <c r="H1432" t="s">
        <v>2285</v>
      </c>
      <c r="I1432" t="s">
        <v>14</v>
      </c>
    </row>
    <row r="1433" spans="1:9">
      <c r="A1433" t="s">
        <v>9</v>
      </c>
      <c r="B1433" t="s">
        <v>10</v>
      </c>
      <c r="C1433">
        <v>65</v>
      </c>
      <c r="D1433" t="s">
        <v>11</v>
      </c>
      <c r="E1433" t="s">
        <v>2546</v>
      </c>
      <c r="F1433" t="s">
        <v>2546</v>
      </c>
      <c r="G1433">
        <v>35897</v>
      </c>
      <c r="H1433" t="s">
        <v>2285</v>
      </c>
      <c r="I1433" t="s">
        <v>14</v>
      </c>
    </row>
    <row r="1434" spans="1:9">
      <c r="A1434" t="s">
        <v>9</v>
      </c>
      <c r="B1434" t="s">
        <v>10</v>
      </c>
      <c r="C1434">
        <v>65</v>
      </c>
      <c r="D1434" t="s">
        <v>11</v>
      </c>
      <c r="E1434" t="s">
        <v>2547</v>
      </c>
      <c r="F1434" t="s">
        <v>2547</v>
      </c>
      <c r="G1434">
        <v>35691</v>
      </c>
      <c r="H1434" t="s">
        <v>2285</v>
      </c>
      <c r="I1434" t="s">
        <v>14</v>
      </c>
    </row>
    <row r="1435" spans="1:9">
      <c r="A1435" t="s">
        <v>9</v>
      </c>
      <c r="B1435" t="s">
        <v>10</v>
      </c>
      <c r="C1435">
        <v>65</v>
      </c>
      <c r="D1435" t="s">
        <v>11</v>
      </c>
      <c r="E1435" t="s">
        <v>2548</v>
      </c>
      <c r="F1435" t="s">
        <v>2548</v>
      </c>
      <c r="G1435">
        <v>90175</v>
      </c>
      <c r="H1435" t="s">
        <v>2285</v>
      </c>
      <c r="I1435" t="s">
        <v>14</v>
      </c>
    </row>
    <row r="1436" spans="1:9">
      <c r="A1436" t="s">
        <v>9</v>
      </c>
      <c r="B1436" t="s">
        <v>10</v>
      </c>
      <c r="C1436">
        <v>65</v>
      </c>
      <c r="D1436" t="s">
        <v>11</v>
      </c>
      <c r="E1436" t="s">
        <v>2549</v>
      </c>
      <c r="F1436" t="s">
        <v>2549</v>
      </c>
      <c r="G1436">
        <v>261453</v>
      </c>
      <c r="H1436" t="s">
        <v>2285</v>
      </c>
      <c r="I1436" t="s">
        <v>14</v>
      </c>
    </row>
    <row r="1437" spans="1:9">
      <c r="A1437" t="s">
        <v>9</v>
      </c>
      <c r="B1437" t="s">
        <v>10</v>
      </c>
      <c r="C1437">
        <v>65</v>
      </c>
      <c r="D1437" t="s">
        <v>11</v>
      </c>
      <c r="E1437" t="s">
        <v>2550</v>
      </c>
      <c r="F1437" t="s">
        <v>2550</v>
      </c>
      <c r="G1437">
        <v>315164</v>
      </c>
      <c r="H1437" t="s">
        <v>2285</v>
      </c>
      <c r="I1437" t="s">
        <v>14</v>
      </c>
    </row>
    <row r="1438" spans="1:9">
      <c r="A1438" t="s">
        <v>9</v>
      </c>
      <c r="B1438" t="s">
        <v>10</v>
      </c>
      <c r="C1438">
        <v>65</v>
      </c>
      <c r="D1438" t="s">
        <v>11</v>
      </c>
      <c r="E1438" t="s">
        <v>2551</v>
      </c>
      <c r="F1438" t="s">
        <v>2551</v>
      </c>
      <c r="G1438">
        <v>84963</v>
      </c>
      <c r="H1438" t="s">
        <v>2285</v>
      </c>
      <c r="I1438" t="s">
        <v>14</v>
      </c>
    </row>
    <row r="1439" spans="1:9">
      <c r="A1439" t="s">
        <v>9</v>
      </c>
      <c r="B1439" t="s">
        <v>10</v>
      </c>
      <c r="C1439">
        <v>65</v>
      </c>
      <c r="D1439" t="s">
        <v>11</v>
      </c>
      <c r="E1439" t="s">
        <v>2552</v>
      </c>
      <c r="F1439" t="s">
        <v>2552</v>
      </c>
      <c r="G1439">
        <v>25281</v>
      </c>
      <c r="H1439" t="s">
        <v>2285</v>
      </c>
      <c r="I1439" t="s">
        <v>14</v>
      </c>
    </row>
    <row r="1440" spans="1:9">
      <c r="A1440" t="s">
        <v>9</v>
      </c>
      <c r="B1440" t="s">
        <v>10</v>
      </c>
      <c r="C1440">
        <v>65</v>
      </c>
      <c r="D1440" t="s">
        <v>11</v>
      </c>
      <c r="E1440" t="s">
        <v>2553</v>
      </c>
      <c r="F1440" t="s">
        <v>2553</v>
      </c>
      <c r="G1440">
        <v>13567</v>
      </c>
      <c r="H1440" t="s">
        <v>2285</v>
      </c>
      <c r="I1440" t="s">
        <v>14</v>
      </c>
    </row>
    <row r="1441" spans="1:19">
      <c r="A1441" t="s">
        <v>9</v>
      </c>
      <c r="B1441" t="s">
        <v>10</v>
      </c>
      <c r="C1441">
        <v>65</v>
      </c>
      <c r="D1441" t="s">
        <v>11</v>
      </c>
      <c r="E1441" t="s">
        <v>2554</v>
      </c>
      <c r="F1441" t="s">
        <v>2554</v>
      </c>
      <c r="G1441">
        <v>0</v>
      </c>
      <c r="H1441" t="s">
        <v>2555</v>
      </c>
      <c r="I1441" t="s">
        <v>14</v>
      </c>
    </row>
    <row r="1442" spans="1:19">
      <c r="A1442" t="s">
        <v>9</v>
      </c>
      <c r="B1442" t="s">
        <v>10</v>
      </c>
      <c r="C1442">
        <v>65</v>
      </c>
      <c r="D1442" t="s">
        <v>11</v>
      </c>
      <c r="E1442" t="s">
        <v>2556</v>
      </c>
      <c r="F1442" t="s">
        <v>2556</v>
      </c>
      <c r="G1442">
        <v>5652</v>
      </c>
      <c r="H1442" t="s">
        <v>2285</v>
      </c>
      <c r="I1442" t="s">
        <v>14</v>
      </c>
    </row>
    <row r="1443" spans="1:19">
      <c r="A1443" t="s">
        <v>9</v>
      </c>
      <c r="B1443" t="s">
        <v>10</v>
      </c>
      <c r="C1443">
        <v>65</v>
      </c>
      <c r="D1443" t="s">
        <v>11</v>
      </c>
      <c r="E1443" t="s">
        <v>2557</v>
      </c>
      <c r="F1443" t="s">
        <v>2557</v>
      </c>
      <c r="G1443">
        <v>1001</v>
      </c>
      <c r="H1443" t="s">
        <v>2285</v>
      </c>
      <c r="I1443" t="s">
        <v>14</v>
      </c>
    </row>
    <row r="1444" spans="1:19">
      <c r="A1444" t="s">
        <v>9</v>
      </c>
      <c r="B1444" t="s">
        <v>10</v>
      </c>
      <c r="C1444">
        <v>65</v>
      </c>
      <c r="D1444" t="s">
        <v>11</v>
      </c>
      <c r="E1444" t="s">
        <v>2558</v>
      </c>
      <c r="F1444" t="s">
        <v>2558</v>
      </c>
      <c r="G1444">
        <v>13799</v>
      </c>
      <c r="H1444" t="s">
        <v>2285</v>
      </c>
      <c r="I1444" t="s">
        <v>14</v>
      </c>
    </row>
    <row r="1445" spans="1:19">
      <c r="A1445" t="s">
        <v>9</v>
      </c>
      <c r="B1445" t="s">
        <v>10</v>
      </c>
      <c r="C1445">
        <v>65</v>
      </c>
      <c r="D1445" t="s">
        <v>11</v>
      </c>
      <c r="E1445" t="s">
        <v>2559</v>
      </c>
      <c r="F1445" t="s">
        <v>2559</v>
      </c>
      <c r="G1445">
        <v>17109</v>
      </c>
      <c r="H1445" t="s">
        <v>2285</v>
      </c>
      <c r="I1445" t="s">
        <v>14</v>
      </c>
    </row>
    <row r="1446" spans="1:19">
      <c r="A1446" t="s">
        <v>9</v>
      </c>
      <c r="B1446" t="s">
        <v>10</v>
      </c>
      <c r="C1446">
        <v>65</v>
      </c>
      <c r="D1446" t="s">
        <v>11</v>
      </c>
      <c r="E1446" t="s">
        <v>2560</v>
      </c>
      <c r="F1446" t="s">
        <v>2560</v>
      </c>
      <c r="G1446">
        <v>39227</v>
      </c>
      <c r="H1446" t="s">
        <v>2285</v>
      </c>
      <c r="I1446" t="s">
        <v>14</v>
      </c>
    </row>
    <row r="1447" spans="1:19">
      <c r="A1447" t="s">
        <v>9</v>
      </c>
      <c r="B1447" t="s">
        <v>10</v>
      </c>
      <c r="C1447">
        <v>65</v>
      </c>
      <c r="D1447" t="s">
        <v>11</v>
      </c>
      <c r="E1447" t="s">
        <v>2561</v>
      </c>
      <c r="F1447" t="s">
        <v>2561</v>
      </c>
      <c r="G1447">
        <v>68506</v>
      </c>
      <c r="H1447" t="s">
        <v>2285</v>
      </c>
      <c r="I1447" t="s">
        <v>14</v>
      </c>
    </row>
    <row r="1448" spans="1:19">
      <c r="A1448" t="s">
        <v>9</v>
      </c>
      <c r="B1448" t="s">
        <v>10</v>
      </c>
      <c r="C1448">
        <v>65</v>
      </c>
      <c r="D1448" t="s">
        <v>11</v>
      </c>
      <c r="E1448" t="s">
        <v>2562</v>
      </c>
      <c r="F1448" t="s">
        <v>2562</v>
      </c>
      <c r="G1448">
        <v>182954</v>
      </c>
      <c r="H1448" t="s">
        <v>2285</v>
      </c>
      <c r="I1448" t="s">
        <v>14</v>
      </c>
    </row>
    <row r="1449" spans="1:19">
      <c r="A1449" t="s">
        <v>9</v>
      </c>
      <c r="B1449" t="s">
        <v>10</v>
      </c>
      <c r="C1449">
        <v>65</v>
      </c>
      <c r="D1449" t="s">
        <v>11</v>
      </c>
      <c r="E1449" t="s">
        <v>2563</v>
      </c>
      <c r="F1449" t="s">
        <v>2563</v>
      </c>
      <c r="G1449">
        <v>210126</v>
      </c>
      <c r="H1449" t="s">
        <v>2285</v>
      </c>
      <c r="I1449" t="s">
        <v>14</v>
      </c>
    </row>
    <row r="1450" spans="1:19">
      <c r="A1450" t="s">
        <v>9</v>
      </c>
      <c r="B1450" t="s">
        <v>10</v>
      </c>
      <c r="C1450">
        <v>65</v>
      </c>
      <c r="D1450" t="s">
        <v>11</v>
      </c>
      <c r="E1450" t="s">
        <v>2564</v>
      </c>
      <c r="F1450" t="s">
        <v>2564</v>
      </c>
      <c r="G1450">
        <v>44807</v>
      </c>
      <c r="H1450" t="s">
        <v>2285</v>
      </c>
      <c r="I1450" t="s">
        <v>14</v>
      </c>
    </row>
    <row r="1451" spans="1:19">
      <c r="A1451" t="s">
        <v>9</v>
      </c>
      <c r="B1451" t="s">
        <v>10</v>
      </c>
      <c r="C1451">
        <v>65</v>
      </c>
      <c r="D1451" t="s">
        <v>11</v>
      </c>
      <c r="E1451" t="s">
        <v>2565</v>
      </c>
      <c r="F1451" t="s">
        <v>2565</v>
      </c>
      <c r="G1451">
        <v>10998</v>
      </c>
      <c r="H1451" t="s">
        <v>2285</v>
      </c>
      <c r="I1451" t="s">
        <v>14</v>
      </c>
    </row>
    <row r="1452" spans="1:19">
      <c r="A1452" t="s">
        <v>9</v>
      </c>
      <c r="B1452" t="s">
        <v>10</v>
      </c>
      <c r="C1452">
        <v>65</v>
      </c>
      <c r="D1452" t="s">
        <v>11</v>
      </c>
      <c r="E1452" t="s">
        <v>2566</v>
      </c>
      <c r="F1452" t="s">
        <v>2566</v>
      </c>
      <c r="G1452">
        <v>7455</v>
      </c>
      <c r="H1452" t="s">
        <v>2285</v>
      </c>
      <c r="I1452" t="s">
        <v>14</v>
      </c>
    </row>
    <row r="1453" spans="1:19">
      <c r="A1453" t="s">
        <v>9</v>
      </c>
      <c r="B1453" t="s">
        <v>10</v>
      </c>
      <c r="C1453">
        <v>65</v>
      </c>
      <c r="D1453" t="s">
        <v>11</v>
      </c>
      <c r="E1453" t="s">
        <v>2567</v>
      </c>
      <c r="F1453" t="s">
        <v>2567</v>
      </c>
      <c r="G1453">
        <v>5688</v>
      </c>
      <c r="H1453" t="s">
        <v>2285</v>
      </c>
      <c r="I1453" t="s">
        <v>14</v>
      </c>
    </row>
    <row r="1454" spans="1:19">
      <c r="A1454" t="s">
        <v>9</v>
      </c>
      <c r="B1454" t="s">
        <v>10</v>
      </c>
      <c r="C1454">
        <v>65</v>
      </c>
      <c r="D1454" t="s">
        <v>11</v>
      </c>
      <c r="E1454" t="s">
        <v>2568</v>
      </c>
      <c r="F1454" t="s">
        <v>2568</v>
      </c>
      <c r="G1454">
        <v>83709</v>
      </c>
      <c r="H1454" t="s">
        <v>2285</v>
      </c>
      <c r="I1454" t="s">
        <v>14</v>
      </c>
      <c r="Q1454" s="1"/>
      <c r="R1454" s="2"/>
      <c r="S1454" s="3"/>
    </row>
    <row r="1455" spans="1:19">
      <c r="A1455" t="s">
        <v>9</v>
      </c>
      <c r="B1455" t="s">
        <v>10</v>
      </c>
      <c r="C1455">
        <v>65</v>
      </c>
      <c r="D1455" t="s">
        <v>11</v>
      </c>
      <c r="E1455" t="s">
        <v>2569</v>
      </c>
      <c r="F1455" t="s">
        <v>2569</v>
      </c>
      <c r="G1455">
        <v>59249</v>
      </c>
      <c r="H1455" t="s">
        <v>2285</v>
      </c>
      <c r="I1455" t="s">
        <v>14</v>
      </c>
      <c r="Q1455" s="1"/>
      <c r="R1455" s="2"/>
      <c r="S1455" s="3"/>
    </row>
    <row r="1456" spans="1:19">
      <c r="A1456" t="s">
        <v>9</v>
      </c>
      <c r="B1456" t="s">
        <v>10</v>
      </c>
      <c r="C1456">
        <v>65</v>
      </c>
      <c r="D1456" t="s">
        <v>11</v>
      </c>
      <c r="E1456" t="s">
        <v>2570</v>
      </c>
      <c r="F1456" t="s">
        <v>2570</v>
      </c>
      <c r="G1456">
        <v>117516</v>
      </c>
      <c r="H1456" t="s">
        <v>2285</v>
      </c>
      <c r="I1456" t="s">
        <v>14</v>
      </c>
      <c r="Q1456" s="1"/>
      <c r="R1456" s="2"/>
      <c r="S1456" s="3"/>
    </row>
    <row r="1457" spans="1:19">
      <c r="A1457" t="s">
        <v>9</v>
      </c>
      <c r="B1457" t="s">
        <v>10</v>
      </c>
      <c r="C1457">
        <v>65</v>
      </c>
      <c r="D1457" t="s">
        <v>11</v>
      </c>
      <c r="E1457" t="s">
        <v>2571</v>
      </c>
      <c r="F1457" t="s">
        <v>2571</v>
      </c>
      <c r="G1457">
        <v>71189</v>
      </c>
      <c r="H1457" t="s">
        <v>2285</v>
      </c>
      <c r="I1457" t="s">
        <v>14</v>
      </c>
      <c r="Q1457" s="1"/>
      <c r="R1457" s="2"/>
      <c r="S1457" s="3"/>
    </row>
    <row r="1458" spans="1:19">
      <c r="A1458" t="s">
        <v>9</v>
      </c>
      <c r="B1458" t="s">
        <v>10</v>
      </c>
      <c r="C1458">
        <v>65</v>
      </c>
      <c r="D1458" t="s">
        <v>11</v>
      </c>
      <c r="E1458" t="s">
        <v>2572</v>
      </c>
      <c r="F1458" t="s">
        <v>2572</v>
      </c>
      <c r="G1458">
        <v>61393</v>
      </c>
      <c r="H1458" t="s">
        <v>2285</v>
      </c>
      <c r="I1458" t="s">
        <v>14</v>
      </c>
      <c r="Q1458" s="1"/>
      <c r="R1458" s="2"/>
      <c r="S1458" s="3"/>
    </row>
    <row r="1459" spans="1:19">
      <c r="A1459" t="s">
        <v>9</v>
      </c>
      <c r="B1459" t="s">
        <v>10</v>
      </c>
      <c r="C1459">
        <v>65</v>
      </c>
      <c r="D1459" t="s">
        <v>11</v>
      </c>
      <c r="E1459" t="s">
        <v>2573</v>
      </c>
      <c r="F1459" t="s">
        <v>2573</v>
      </c>
      <c r="G1459">
        <v>112367</v>
      </c>
      <c r="H1459" t="s">
        <v>2285</v>
      </c>
      <c r="I1459" t="s">
        <v>14</v>
      </c>
      <c r="Q1459" s="1"/>
      <c r="R1459" s="2"/>
      <c r="S1459" s="3"/>
    </row>
    <row r="1460" spans="1:19">
      <c r="A1460" t="s">
        <v>9</v>
      </c>
      <c r="B1460" t="s">
        <v>10</v>
      </c>
      <c r="C1460">
        <v>65</v>
      </c>
      <c r="D1460" t="s">
        <v>11</v>
      </c>
      <c r="E1460" t="s">
        <v>2574</v>
      </c>
      <c r="F1460" t="s">
        <v>2574</v>
      </c>
      <c r="G1460">
        <v>200490</v>
      </c>
      <c r="H1460" t="s">
        <v>2285</v>
      </c>
      <c r="I1460" t="s">
        <v>14</v>
      </c>
      <c r="Q1460" s="1"/>
      <c r="R1460" s="2"/>
      <c r="S1460" s="3"/>
    </row>
    <row r="1461" spans="1:19">
      <c r="A1461" t="s">
        <v>9</v>
      </c>
      <c r="B1461" t="s">
        <v>10</v>
      </c>
      <c r="C1461">
        <v>65</v>
      </c>
      <c r="D1461" t="s">
        <v>11</v>
      </c>
      <c r="E1461" t="s">
        <v>2575</v>
      </c>
      <c r="F1461" t="s">
        <v>2575</v>
      </c>
      <c r="G1461">
        <v>231853</v>
      </c>
      <c r="H1461" t="s">
        <v>2285</v>
      </c>
      <c r="I1461" t="s">
        <v>14</v>
      </c>
      <c r="Q1461" s="1"/>
      <c r="R1461" s="2"/>
      <c r="S1461" s="3"/>
    </row>
    <row r="1462" spans="1:19">
      <c r="A1462" t="s">
        <v>9</v>
      </c>
      <c r="B1462" t="s">
        <v>10</v>
      </c>
      <c r="C1462">
        <v>65</v>
      </c>
      <c r="D1462" t="s">
        <v>11</v>
      </c>
      <c r="E1462" t="s">
        <v>2576</v>
      </c>
      <c r="F1462" t="s">
        <v>2576</v>
      </c>
      <c r="G1462">
        <v>84673</v>
      </c>
      <c r="H1462" t="s">
        <v>2285</v>
      </c>
      <c r="I1462" t="s">
        <v>14</v>
      </c>
      <c r="K1462" t="s">
        <v>2577</v>
      </c>
      <c r="Q1462" s="1"/>
      <c r="R1462" s="2"/>
      <c r="S1462" s="3"/>
    </row>
    <row r="1463" spans="1:19">
      <c r="E1463" s="1">
        <v>44743</v>
      </c>
      <c r="F1463" s="1">
        <v>44743</v>
      </c>
      <c r="G1463">
        <v>18154</v>
      </c>
      <c r="K1463" t="s">
        <v>2577</v>
      </c>
      <c r="Q1463" s="1"/>
      <c r="R1463" s="2"/>
      <c r="S1463" s="3"/>
    </row>
    <row r="1464" spans="1:19">
      <c r="E1464" s="1">
        <v>44774</v>
      </c>
      <c r="F1464" s="1">
        <v>44774</v>
      </c>
      <c r="G1464">
        <v>17407</v>
      </c>
      <c r="K1464" t="s">
        <v>2577</v>
      </c>
      <c r="Q1464" s="1"/>
      <c r="R1464" s="2"/>
      <c r="S1464" s="3"/>
    </row>
    <row r="1465" spans="1:19">
      <c r="E1465" s="1">
        <v>44805</v>
      </c>
      <c r="F1465" s="1">
        <v>44805</v>
      </c>
      <c r="G1465">
        <v>13039</v>
      </c>
      <c r="K1465" t="s">
        <v>2577</v>
      </c>
      <c r="Q1465" s="1"/>
      <c r="R1465" s="2"/>
      <c r="S1465" s="3"/>
    </row>
    <row r="1466" spans="1:19">
      <c r="Q1466" s="1"/>
      <c r="R1466" s="2"/>
      <c r="S1466" s="3"/>
    </row>
    <row r="1467" spans="1:19">
      <c r="Q1467" s="1"/>
      <c r="R1467" s="2"/>
      <c r="S1467" s="3"/>
    </row>
    <row r="1468" spans="1:19">
      <c r="Q1468" s="1"/>
      <c r="R1468" s="2"/>
      <c r="S1468" s="3"/>
    </row>
    <row r="1469" spans="1:19">
      <c r="Q1469" s="1"/>
      <c r="R1469" s="2"/>
      <c r="S1469" s="3"/>
    </row>
    <row r="1470" spans="1:19">
      <c r="Q1470" s="1"/>
      <c r="R1470" s="2"/>
      <c r="S1470" s="3"/>
    </row>
    <row r="1471" spans="1:19">
      <c r="Q1471" s="1"/>
      <c r="R1471" s="2"/>
      <c r="S1471" s="3"/>
    </row>
    <row r="1472" spans="1:19">
      <c r="Q1472" s="1"/>
      <c r="R1472" s="2"/>
      <c r="S1472" s="3"/>
    </row>
    <row r="1473" spans="17:19">
      <c r="Q1473" s="1"/>
      <c r="R1473" s="2"/>
      <c r="S1473" s="3"/>
    </row>
    <row r="1474" spans="17:19">
      <c r="Q1474" s="1"/>
      <c r="R1474" s="2"/>
      <c r="S1474" s="3"/>
    </row>
    <row r="1475" spans="17:19">
      <c r="Q1475" s="1"/>
      <c r="R1475" s="2"/>
      <c r="S1475" s="3"/>
    </row>
    <row r="1476" spans="17:19">
      <c r="Q1476" s="1"/>
      <c r="R1476" s="2"/>
    </row>
  </sheetData>
  <phoneticPr fontId="20" type="noConversion"/>
  <hyperlinks>
    <hyperlink ref="S1454" r:id="rId1" display="http://cdec4gov.water.ca.gov/misc/flaglist.html" xr:uid="{00000000-0004-0000-0000-000000000000}"/>
    <hyperlink ref="S1455" r:id="rId2" display="http://cdec4gov.water.ca.gov/misc/flaglist.html" xr:uid="{00000000-0004-0000-0000-000001000000}"/>
    <hyperlink ref="S1456" r:id="rId3" display="http://cdec4gov.water.ca.gov/misc/flaglist.html" xr:uid="{00000000-0004-0000-0000-000002000000}"/>
    <hyperlink ref="S1457" r:id="rId4" display="http://cdec4gov.water.ca.gov/misc/flaglist.html" xr:uid="{00000000-0004-0000-0000-000003000000}"/>
    <hyperlink ref="S1458" r:id="rId5" display="http://cdec4gov.water.ca.gov/misc/flaglist.html" xr:uid="{00000000-0004-0000-0000-000004000000}"/>
    <hyperlink ref="S1459" r:id="rId6" display="http://cdec4gov.water.ca.gov/misc/flaglist.html" xr:uid="{00000000-0004-0000-0000-000005000000}"/>
    <hyperlink ref="S1460" r:id="rId7" display="http://cdec4gov.water.ca.gov/misc/flaglist.html" xr:uid="{00000000-0004-0000-0000-000006000000}"/>
    <hyperlink ref="S1461" r:id="rId8" display="http://cdec4gov.water.ca.gov/misc/flaglist.html" xr:uid="{00000000-0004-0000-0000-000007000000}"/>
    <hyperlink ref="S1462" r:id="rId9" display="http://cdec4gov.water.ca.gov/misc/flaglist.html" xr:uid="{00000000-0004-0000-0000-000008000000}"/>
    <hyperlink ref="S1463" r:id="rId10" display="http://cdec4gov.water.ca.gov/misc/flaglist.html" xr:uid="{00000000-0004-0000-0000-000009000000}"/>
    <hyperlink ref="S1464" r:id="rId11" display="http://cdec4gov.water.ca.gov/misc/flaglist.html" xr:uid="{00000000-0004-0000-0000-00000A000000}"/>
    <hyperlink ref="S1465" r:id="rId12" display="http://cdec4gov.water.ca.gov/misc/flaglist.html" xr:uid="{00000000-0004-0000-0000-00000B000000}"/>
    <hyperlink ref="S1466" r:id="rId13" display="http://cdec4gov.water.ca.gov/misc/flaglist.html" xr:uid="{00000000-0004-0000-0000-00000C000000}"/>
    <hyperlink ref="S1467" r:id="rId14" display="http://cdec4gov.water.ca.gov/misc/flaglist.html" xr:uid="{00000000-0004-0000-0000-00000D000000}"/>
    <hyperlink ref="S1468" r:id="rId15" display="http://cdec4gov.water.ca.gov/misc/flaglist.html" xr:uid="{00000000-0004-0000-0000-00000E000000}"/>
    <hyperlink ref="S1469" r:id="rId16" display="http://cdec4gov.water.ca.gov/misc/flaglist.html" xr:uid="{00000000-0004-0000-0000-00000F000000}"/>
    <hyperlink ref="S1470" r:id="rId17" display="http://cdec4gov.water.ca.gov/misc/flaglist.html" xr:uid="{00000000-0004-0000-0000-000010000000}"/>
    <hyperlink ref="S1471" r:id="rId18" display="http://cdec4gov.water.ca.gov/misc/flaglist.html" xr:uid="{00000000-0004-0000-0000-000011000000}"/>
    <hyperlink ref="S1472" r:id="rId19" display="http://cdec4gov.water.ca.gov/misc/flaglist.html" xr:uid="{00000000-0004-0000-0000-000012000000}"/>
    <hyperlink ref="S1473" r:id="rId20" display="http://cdec4gov.water.ca.gov/misc/flaglist.html" xr:uid="{00000000-0004-0000-0000-000013000000}"/>
    <hyperlink ref="S1474" r:id="rId21" display="http://cdec4gov.water.ca.gov/misc/flaglist.html" xr:uid="{00000000-0004-0000-0000-000014000000}"/>
    <hyperlink ref="S1475" r:id="rId22" display="http://cdec4gov.water.ca.gov/misc/flaglist.html" xr:uid="{00000000-0004-0000-0000-00001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"/>
  <sheetViews>
    <sheetView workbookViewId="0">
      <selection sqref="A1:E1048576"/>
    </sheetView>
  </sheetViews>
  <sheetFormatPr baseColWidth="10" defaultRowHeight="16"/>
  <sheetData>
    <row r="1" spans="1:5">
      <c r="A1" t="s">
        <v>2578</v>
      </c>
      <c r="C1" t="s">
        <v>2579</v>
      </c>
      <c r="D1" t="s">
        <v>2580</v>
      </c>
      <c r="E1" t="s">
        <v>2581</v>
      </c>
    </row>
    <row r="2" spans="1:5">
      <c r="A2">
        <v>1901</v>
      </c>
      <c r="B2">
        <v>0</v>
      </c>
      <c r="C2">
        <f>SUM(TLG65_MonthlyFNF!G6:G10)</f>
        <v>2060000</v>
      </c>
      <c r="D2">
        <f>C2/1000</f>
        <v>2060</v>
      </c>
      <c r="E2">
        <f>D2*0.4</f>
        <v>824</v>
      </c>
    </row>
    <row r="3" spans="1:5">
      <c r="A3">
        <f>A2+1</f>
        <v>1902</v>
      </c>
      <c r="B3">
        <v>12</v>
      </c>
      <c r="C3">
        <f ca="1">SUM(INDIRECT("TLG65_MONTHLYFNF!G"&amp;6+B3):INDIRECT("TLG65_MONTHLYFNF!G"&amp;10+B3))</f>
        <v>1314000</v>
      </c>
      <c r="D3">
        <f t="shared" ref="D3:D66" ca="1" si="0">C3/1000</f>
        <v>1314</v>
      </c>
      <c r="E3">
        <f t="shared" ref="E3:E66" ca="1" si="1">D3*0.4</f>
        <v>525.6</v>
      </c>
    </row>
    <row r="4" spans="1:5">
      <c r="A4">
        <f>A3+1</f>
        <v>1903</v>
      </c>
      <c r="B4">
        <f>B3+12</f>
        <v>24</v>
      </c>
      <c r="C4">
        <f ca="1">SUM(INDIRECT("TLG65_MONTHLYFNF!G"&amp;6+B4):INDIRECT("TLG65_MONTHLYFNF!G"&amp;10+B4))</f>
        <v>1547700</v>
      </c>
      <c r="D4">
        <f t="shared" ca="1" si="0"/>
        <v>1547.7</v>
      </c>
      <c r="E4">
        <f t="shared" ca="1" si="1"/>
        <v>619.08000000000004</v>
      </c>
    </row>
    <row r="5" spans="1:5">
      <c r="A5">
        <f t="shared" ref="A5:A68" si="2">A4+1</f>
        <v>1904</v>
      </c>
      <c r="B5">
        <f t="shared" ref="B5:B68" si="3">B4+12</f>
        <v>36</v>
      </c>
      <c r="C5">
        <f ca="1">SUM(INDIRECT("TLG65_MONTHLYFNF!G"&amp;6+B5):INDIRECT("TLG65_MONTHLYFNF!G"&amp;10+B5))</f>
        <v>2074000</v>
      </c>
      <c r="D5">
        <f t="shared" ca="1" si="0"/>
        <v>2074</v>
      </c>
      <c r="E5">
        <f t="shared" ca="1" si="1"/>
        <v>829.6</v>
      </c>
    </row>
    <row r="6" spans="1:5">
      <c r="A6">
        <f t="shared" si="2"/>
        <v>1905</v>
      </c>
      <c r="B6">
        <f t="shared" si="3"/>
        <v>48</v>
      </c>
      <c r="C6">
        <f ca="1">SUM(INDIRECT("TLG65_MONTHLYFNF!G"&amp;6+B6):INDIRECT("TLG65_MONTHLYFNF!G"&amp;10+B6))</f>
        <v>1212000</v>
      </c>
      <c r="D6">
        <f t="shared" ca="1" si="0"/>
        <v>1212</v>
      </c>
      <c r="E6">
        <f t="shared" ca="1" si="1"/>
        <v>484.8</v>
      </c>
    </row>
    <row r="7" spans="1:5">
      <c r="A7">
        <f t="shared" si="2"/>
        <v>1906</v>
      </c>
      <c r="B7">
        <f t="shared" si="3"/>
        <v>60</v>
      </c>
      <c r="C7">
        <f ca="1">SUM(INDIRECT("TLG65_MONTHLYFNF!G"&amp;6+B7):INDIRECT("TLG65_MONTHLYFNF!G"&amp;10+B7))</f>
        <v>2524000</v>
      </c>
      <c r="D7">
        <f t="shared" ca="1" si="0"/>
        <v>2524</v>
      </c>
      <c r="E7">
        <f t="shared" ca="1" si="1"/>
        <v>1009.6</v>
      </c>
    </row>
    <row r="8" spans="1:5">
      <c r="A8">
        <f t="shared" si="2"/>
        <v>1907</v>
      </c>
      <c r="B8">
        <f t="shared" si="3"/>
        <v>72</v>
      </c>
      <c r="C8">
        <f ca="1">SUM(INDIRECT("TLG65_MONTHLYFNF!G"&amp;6+B8):INDIRECT("TLG65_MONTHLYFNF!G"&amp;10+B8))</f>
        <v>2818000</v>
      </c>
      <c r="D8">
        <f t="shared" ca="1" si="0"/>
        <v>2818</v>
      </c>
      <c r="E8">
        <f t="shared" ca="1" si="1"/>
        <v>1127.2</v>
      </c>
    </row>
    <row r="9" spans="1:5">
      <c r="A9">
        <f t="shared" si="2"/>
        <v>1908</v>
      </c>
      <c r="B9">
        <f t="shared" si="3"/>
        <v>84</v>
      </c>
      <c r="C9">
        <f ca="1">SUM(INDIRECT("TLG65_MONTHLYFNF!G"&amp;6+B9):INDIRECT("TLG65_MONTHLYFNF!G"&amp;10+B9))</f>
        <v>799000</v>
      </c>
      <c r="D9">
        <f t="shared" ca="1" si="0"/>
        <v>799</v>
      </c>
      <c r="E9">
        <f t="shared" ca="1" si="1"/>
        <v>319.60000000000002</v>
      </c>
    </row>
    <row r="10" spans="1:5">
      <c r="A10">
        <f t="shared" si="2"/>
        <v>1909</v>
      </c>
      <c r="B10">
        <f t="shared" si="3"/>
        <v>96</v>
      </c>
      <c r="C10">
        <f ca="1">SUM(INDIRECT("TLG65_MONTHLYFNF!G"&amp;6+B10):INDIRECT("TLG65_MONTHLYFNF!G"&amp;10+B10))</f>
        <v>1962000</v>
      </c>
      <c r="D10">
        <f t="shared" ca="1" si="0"/>
        <v>1962</v>
      </c>
      <c r="E10">
        <f t="shared" ca="1" si="1"/>
        <v>784.80000000000007</v>
      </c>
    </row>
    <row r="11" spans="1:5">
      <c r="A11">
        <f t="shared" si="2"/>
        <v>1910</v>
      </c>
      <c r="B11">
        <f t="shared" si="3"/>
        <v>108</v>
      </c>
      <c r="C11">
        <f ca="1">SUM(INDIRECT("TLG65_MONTHLYFNF!G"&amp;6+B11):INDIRECT("TLG65_MONTHLYFNF!G"&amp;10+B11))</f>
        <v>1435000</v>
      </c>
      <c r="D11">
        <f t="shared" ca="1" si="0"/>
        <v>1435</v>
      </c>
      <c r="E11">
        <f t="shared" ca="1" si="1"/>
        <v>574</v>
      </c>
    </row>
    <row r="12" spans="1:5">
      <c r="A12">
        <f t="shared" si="2"/>
        <v>1911</v>
      </c>
      <c r="B12">
        <f t="shared" si="3"/>
        <v>120</v>
      </c>
      <c r="C12">
        <f ca="1">SUM(INDIRECT("TLG65_MONTHLYFNF!G"&amp;6+B12):INDIRECT("TLG65_MONTHLYFNF!G"&amp;10+B12))</f>
        <v>2442000</v>
      </c>
      <c r="D12">
        <f t="shared" ca="1" si="0"/>
        <v>2442</v>
      </c>
      <c r="E12">
        <f t="shared" ca="1" si="1"/>
        <v>976.80000000000007</v>
      </c>
    </row>
    <row r="13" spans="1:5">
      <c r="A13">
        <f t="shared" si="2"/>
        <v>1912</v>
      </c>
      <c r="B13">
        <f t="shared" si="3"/>
        <v>132</v>
      </c>
      <c r="C13">
        <f ca="1">SUM(INDIRECT("TLG65_MONTHLYFNF!G"&amp;6+B13):INDIRECT("TLG65_MONTHLYFNF!G"&amp;10+B13))</f>
        <v>906300</v>
      </c>
      <c r="D13">
        <f t="shared" ca="1" si="0"/>
        <v>906.3</v>
      </c>
      <c r="E13">
        <f t="shared" ca="1" si="1"/>
        <v>362.52</v>
      </c>
    </row>
    <row r="14" spans="1:5">
      <c r="A14">
        <f t="shared" si="2"/>
        <v>1913</v>
      </c>
      <c r="B14">
        <f t="shared" si="3"/>
        <v>144</v>
      </c>
      <c r="C14">
        <f ca="1">SUM(INDIRECT("TLG65_MONTHLYFNF!G"&amp;6+B14):INDIRECT("TLG65_MONTHLYFNF!G"&amp;10+B14))</f>
        <v>888200</v>
      </c>
      <c r="D14">
        <f t="shared" ca="1" si="0"/>
        <v>888.2</v>
      </c>
      <c r="E14">
        <f t="shared" ca="1" si="1"/>
        <v>355.28000000000003</v>
      </c>
    </row>
    <row r="15" spans="1:5">
      <c r="A15">
        <f t="shared" si="2"/>
        <v>1914</v>
      </c>
      <c r="B15">
        <f t="shared" si="3"/>
        <v>156</v>
      </c>
      <c r="C15">
        <f ca="1">SUM(INDIRECT("TLG65_MONTHLYFNF!G"&amp;6+B15):INDIRECT("TLG65_MONTHLYFNF!G"&amp;10+B15))</f>
        <v>1852000</v>
      </c>
      <c r="D15">
        <f t="shared" ca="1" si="0"/>
        <v>1852</v>
      </c>
      <c r="E15">
        <f t="shared" ca="1" si="1"/>
        <v>740.80000000000007</v>
      </c>
    </row>
    <row r="16" spans="1:5">
      <c r="A16">
        <f t="shared" si="2"/>
        <v>1915</v>
      </c>
      <c r="B16">
        <f t="shared" si="3"/>
        <v>168</v>
      </c>
      <c r="C16">
        <f ca="1">SUM(INDIRECT("TLG65_MONTHLYFNF!G"&amp;6+B16):INDIRECT("TLG65_MONTHLYFNF!G"&amp;10+B16))</f>
        <v>1733000</v>
      </c>
      <c r="D16">
        <f t="shared" ca="1" si="0"/>
        <v>1733</v>
      </c>
      <c r="E16">
        <f t="shared" ca="1" si="1"/>
        <v>693.2</v>
      </c>
    </row>
    <row r="17" spans="1:5">
      <c r="A17">
        <f t="shared" si="2"/>
        <v>1916</v>
      </c>
      <c r="B17">
        <f t="shared" si="3"/>
        <v>180</v>
      </c>
      <c r="C17">
        <f ca="1">SUM(INDIRECT("TLG65_MONTHLYFNF!G"&amp;6+B17):INDIRECT("TLG65_MONTHLYFNF!G"&amp;10+B17))</f>
        <v>2013000</v>
      </c>
      <c r="D17">
        <f t="shared" ca="1" si="0"/>
        <v>2013</v>
      </c>
      <c r="E17">
        <f t="shared" ca="1" si="1"/>
        <v>805.2</v>
      </c>
    </row>
    <row r="18" spans="1:5">
      <c r="A18">
        <f t="shared" si="2"/>
        <v>1917</v>
      </c>
      <c r="B18">
        <f t="shared" si="3"/>
        <v>192</v>
      </c>
      <c r="C18">
        <f ca="1">SUM(INDIRECT("TLG65_MONTHLYFNF!G"&amp;6+B18):INDIRECT("TLG65_MONTHLYFNF!G"&amp;10+B18))</f>
        <v>1761000</v>
      </c>
      <c r="D18">
        <f t="shared" ca="1" si="0"/>
        <v>1761</v>
      </c>
      <c r="E18">
        <f t="shared" ca="1" si="1"/>
        <v>704.40000000000009</v>
      </c>
    </row>
    <row r="19" spans="1:5">
      <c r="A19">
        <f t="shared" si="2"/>
        <v>1918</v>
      </c>
      <c r="B19">
        <f t="shared" si="3"/>
        <v>204</v>
      </c>
      <c r="C19">
        <f ca="1">SUM(INDIRECT("TLG65_MONTHLYFNF!G"&amp;6+B19):INDIRECT("TLG65_MONTHLYFNF!G"&amp;10+B19))</f>
        <v>1364580</v>
      </c>
      <c r="D19">
        <f t="shared" ca="1" si="0"/>
        <v>1364.58</v>
      </c>
      <c r="E19">
        <f t="shared" ca="1" si="1"/>
        <v>545.83199999999999</v>
      </c>
    </row>
    <row r="20" spans="1:5">
      <c r="A20">
        <f t="shared" si="2"/>
        <v>1919</v>
      </c>
      <c r="B20">
        <f t="shared" si="3"/>
        <v>216</v>
      </c>
      <c r="C20">
        <f ca="1">SUM(INDIRECT("TLG65_MONTHLYFNF!G"&amp;6+B20):INDIRECT("TLG65_MONTHLYFNF!G"&amp;10+B20))</f>
        <v>1171630</v>
      </c>
      <c r="D20">
        <f t="shared" ca="1" si="0"/>
        <v>1171.6300000000001</v>
      </c>
      <c r="E20">
        <f t="shared" ca="1" si="1"/>
        <v>468.65200000000004</v>
      </c>
    </row>
    <row r="21" spans="1:5">
      <c r="A21">
        <f t="shared" si="2"/>
        <v>1920</v>
      </c>
      <c r="B21">
        <f t="shared" si="3"/>
        <v>228</v>
      </c>
      <c r="C21">
        <f ca="1">SUM(INDIRECT("TLG65_MONTHLYFNF!G"&amp;6+B21):INDIRECT("TLG65_MONTHLYFNF!G"&amp;10+B21))</f>
        <v>1215350</v>
      </c>
      <c r="D21">
        <f t="shared" ca="1" si="0"/>
        <v>1215.3499999999999</v>
      </c>
      <c r="E21">
        <f t="shared" ca="1" si="1"/>
        <v>486.14</v>
      </c>
    </row>
    <row r="22" spans="1:5">
      <c r="A22">
        <f t="shared" si="2"/>
        <v>1921</v>
      </c>
      <c r="B22">
        <f t="shared" si="3"/>
        <v>240</v>
      </c>
      <c r="C22">
        <f ca="1">SUM(INDIRECT("TLG65_MONTHLYFNF!G"&amp;6+B22):INDIRECT("TLG65_MONTHLYFNF!G"&amp;10+B22))</f>
        <v>1542570</v>
      </c>
      <c r="D22">
        <f t="shared" ca="1" si="0"/>
        <v>1542.57</v>
      </c>
      <c r="E22">
        <f t="shared" ca="1" si="1"/>
        <v>617.02800000000002</v>
      </c>
    </row>
    <row r="23" spans="1:5">
      <c r="A23">
        <f t="shared" si="2"/>
        <v>1922</v>
      </c>
      <c r="B23">
        <f t="shared" si="3"/>
        <v>252</v>
      </c>
      <c r="C23">
        <f ca="1">SUM(INDIRECT("TLG65_MONTHLYFNF!G"&amp;6+B23):INDIRECT("TLG65_MONTHLYFNF!G"&amp;10+B23))</f>
        <v>2100550</v>
      </c>
      <c r="D23">
        <f t="shared" ca="1" si="0"/>
        <v>2100.5500000000002</v>
      </c>
      <c r="E23">
        <f t="shared" ca="1" si="1"/>
        <v>840.22000000000014</v>
      </c>
    </row>
    <row r="24" spans="1:5">
      <c r="A24">
        <f t="shared" si="2"/>
        <v>1923</v>
      </c>
      <c r="B24">
        <f t="shared" si="3"/>
        <v>264</v>
      </c>
      <c r="C24">
        <f ca="1">SUM(INDIRECT("TLG65_MONTHLYFNF!G"&amp;6+B24):INDIRECT("TLG65_MONTHLYFNF!G"&amp;10+B24))</f>
        <v>1298800</v>
      </c>
      <c r="D24">
        <f t="shared" ca="1" si="0"/>
        <v>1298.8</v>
      </c>
      <c r="E24">
        <f t="shared" ca="1" si="1"/>
        <v>519.52</v>
      </c>
    </row>
    <row r="25" spans="1:5">
      <c r="A25">
        <f t="shared" si="2"/>
        <v>1924</v>
      </c>
      <c r="B25">
        <f t="shared" si="3"/>
        <v>276</v>
      </c>
      <c r="C25">
        <f ca="1">SUM(INDIRECT("TLG65_MONTHLYFNF!G"&amp;6+B25):INDIRECT("TLG65_MONTHLYFNF!G"&amp;10+B25))</f>
        <v>444590</v>
      </c>
      <c r="D25">
        <f t="shared" ca="1" si="0"/>
        <v>444.59</v>
      </c>
      <c r="E25">
        <f t="shared" ca="1" si="1"/>
        <v>177.83600000000001</v>
      </c>
    </row>
    <row r="26" spans="1:5">
      <c r="A26">
        <f t="shared" si="2"/>
        <v>1925</v>
      </c>
      <c r="B26">
        <f t="shared" si="3"/>
        <v>288</v>
      </c>
      <c r="C26">
        <f ca="1">SUM(INDIRECT("TLG65_MONTHLYFNF!G"&amp;6+B26):INDIRECT("TLG65_MONTHLYFNF!G"&amp;10+B26))</f>
        <v>1633880</v>
      </c>
      <c r="D26">
        <f t="shared" ca="1" si="0"/>
        <v>1633.88</v>
      </c>
      <c r="E26">
        <f t="shared" ca="1" si="1"/>
        <v>653.55200000000013</v>
      </c>
    </row>
    <row r="27" spans="1:5">
      <c r="A27">
        <f t="shared" si="2"/>
        <v>1926</v>
      </c>
      <c r="B27">
        <f t="shared" si="3"/>
        <v>300</v>
      </c>
      <c r="C27">
        <f ca="1">SUM(INDIRECT("TLG65_MONTHLYFNF!G"&amp;6+B27):INDIRECT("TLG65_MONTHLYFNF!G"&amp;10+B27))</f>
        <v>1003330</v>
      </c>
      <c r="D27">
        <f t="shared" ca="1" si="0"/>
        <v>1003.33</v>
      </c>
      <c r="E27">
        <f t="shared" ca="1" si="1"/>
        <v>401.33200000000005</v>
      </c>
    </row>
    <row r="28" spans="1:5">
      <c r="A28">
        <f t="shared" si="2"/>
        <v>1927</v>
      </c>
      <c r="B28">
        <f t="shared" si="3"/>
        <v>312</v>
      </c>
      <c r="C28">
        <f ca="1">SUM(INDIRECT("TLG65_MONTHLYFNF!G"&amp;6+B28):INDIRECT("TLG65_MONTHLYFNF!G"&amp;10+B28))</f>
        <v>1664620</v>
      </c>
      <c r="D28">
        <f t="shared" ca="1" si="0"/>
        <v>1664.62</v>
      </c>
      <c r="E28">
        <f t="shared" ca="1" si="1"/>
        <v>665.84799999999996</v>
      </c>
    </row>
    <row r="29" spans="1:5">
      <c r="A29">
        <f t="shared" si="2"/>
        <v>1928</v>
      </c>
      <c r="B29">
        <f t="shared" si="3"/>
        <v>324</v>
      </c>
      <c r="C29">
        <f ca="1">SUM(INDIRECT("TLG65_MONTHLYFNF!G"&amp;6+B29):INDIRECT("TLG65_MONTHLYFNF!G"&amp;10+B29))</f>
        <v>1289820</v>
      </c>
      <c r="D29">
        <f t="shared" ca="1" si="0"/>
        <v>1289.82</v>
      </c>
      <c r="E29">
        <f t="shared" ca="1" si="1"/>
        <v>515.928</v>
      </c>
    </row>
    <row r="30" spans="1:5">
      <c r="A30">
        <f t="shared" si="2"/>
        <v>1929</v>
      </c>
      <c r="B30">
        <f t="shared" si="3"/>
        <v>336</v>
      </c>
      <c r="C30">
        <f ca="1">SUM(INDIRECT("TLG65_MONTHLYFNF!G"&amp;6+B30):INDIRECT("TLG65_MONTHLYFNF!G"&amp;10+B30))</f>
        <v>890760</v>
      </c>
      <c r="D30">
        <f t="shared" ca="1" si="0"/>
        <v>890.76</v>
      </c>
      <c r="E30">
        <f t="shared" ca="1" si="1"/>
        <v>356.30400000000003</v>
      </c>
    </row>
    <row r="31" spans="1:5">
      <c r="A31">
        <f t="shared" si="2"/>
        <v>1930</v>
      </c>
      <c r="B31">
        <f t="shared" si="3"/>
        <v>348</v>
      </c>
      <c r="C31">
        <f ca="1">SUM(INDIRECT("TLG65_MONTHLYFNF!G"&amp;6+B31):INDIRECT("TLG65_MONTHLYFNF!G"&amp;10+B31))</f>
        <v>1023580</v>
      </c>
      <c r="D31">
        <f t="shared" ca="1" si="0"/>
        <v>1023.58</v>
      </c>
      <c r="E31">
        <f t="shared" ca="1" si="1"/>
        <v>409.43200000000002</v>
      </c>
    </row>
    <row r="32" spans="1:5">
      <c r="A32">
        <f t="shared" si="2"/>
        <v>1931</v>
      </c>
      <c r="B32">
        <f t="shared" si="3"/>
        <v>360</v>
      </c>
      <c r="C32">
        <f ca="1">SUM(INDIRECT("TLG65_MONTHLYFNF!G"&amp;6+B32):INDIRECT("TLG65_MONTHLYFNF!G"&amp;10+B32))</f>
        <v>523120</v>
      </c>
      <c r="D32">
        <f t="shared" ca="1" si="0"/>
        <v>523.12</v>
      </c>
      <c r="E32">
        <f t="shared" ca="1" si="1"/>
        <v>209.24800000000002</v>
      </c>
    </row>
    <row r="33" spans="1:5">
      <c r="A33">
        <f t="shared" si="2"/>
        <v>1932</v>
      </c>
      <c r="B33">
        <f t="shared" si="3"/>
        <v>372</v>
      </c>
      <c r="C33">
        <f ca="1">SUM(INDIRECT("TLG65_MONTHLYFNF!G"&amp;6+B33):INDIRECT("TLG65_MONTHLYFNF!G"&amp;10+B33))</f>
        <v>1713650</v>
      </c>
      <c r="D33">
        <f t="shared" ca="1" si="0"/>
        <v>1713.65</v>
      </c>
      <c r="E33">
        <f t="shared" ca="1" si="1"/>
        <v>685.46</v>
      </c>
    </row>
    <row r="34" spans="1:5">
      <c r="A34">
        <f t="shared" si="2"/>
        <v>1933</v>
      </c>
      <c r="B34">
        <f t="shared" si="3"/>
        <v>384</v>
      </c>
      <c r="C34">
        <f ca="1">SUM(INDIRECT("TLG65_MONTHLYFNF!G"&amp;6+B34):INDIRECT("TLG65_MONTHLYFNF!G"&amp;10+B34))</f>
        <v>961980</v>
      </c>
      <c r="D34">
        <f t="shared" ca="1" si="0"/>
        <v>961.98</v>
      </c>
      <c r="E34">
        <f t="shared" ca="1" si="1"/>
        <v>384.79200000000003</v>
      </c>
    </row>
    <row r="35" spans="1:5">
      <c r="A35">
        <f t="shared" si="2"/>
        <v>1934</v>
      </c>
      <c r="B35">
        <f t="shared" si="3"/>
        <v>396</v>
      </c>
      <c r="C35">
        <f ca="1">SUM(INDIRECT("TLG65_MONTHLYFNF!G"&amp;6+B35):INDIRECT("TLG65_MONTHLYFNF!G"&amp;10+B35))</f>
        <v>670750</v>
      </c>
      <c r="D35">
        <f t="shared" ca="1" si="0"/>
        <v>670.75</v>
      </c>
      <c r="E35">
        <f t="shared" ca="1" si="1"/>
        <v>268.3</v>
      </c>
    </row>
    <row r="36" spans="1:5">
      <c r="A36">
        <f t="shared" si="2"/>
        <v>1935</v>
      </c>
      <c r="B36">
        <f t="shared" si="3"/>
        <v>408</v>
      </c>
      <c r="C36">
        <f ca="1">SUM(INDIRECT("TLG65_MONTHLYFNF!G"&amp;6+B36):INDIRECT("TLG65_MONTHLYFNF!G"&amp;10+B36))</f>
        <v>1751830</v>
      </c>
      <c r="D36">
        <f t="shared" ca="1" si="0"/>
        <v>1751.83</v>
      </c>
      <c r="E36">
        <f t="shared" ca="1" si="1"/>
        <v>700.73199999999997</v>
      </c>
    </row>
    <row r="37" spans="1:5">
      <c r="A37">
        <f t="shared" si="2"/>
        <v>1936</v>
      </c>
      <c r="B37">
        <f t="shared" si="3"/>
        <v>420</v>
      </c>
      <c r="C37">
        <f ca="1">SUM(INDIRECT("TLG65_MONTHLYFNF!G"&amp;6+B37):INDIRECT("TLG65_MONTHLYFNF!G"&amp;10+B37))</f>
        <v>1862900</v>
      </c>
      <c r="D37">
        <f t="shared" ca="1" si="0"/>
        <v>1862.9</v>
      </c>
      <c r="E37">
        <f t="shared" ca="1" si="1"/>
        <v>745.16000000000008</v>
      </c>
    </row>
    <row r="38" spans="1:5">
      <c r="A38">
        <f t="shared" si="2"/>
        <v>1937</v>
      </c>
      <c r="B38">
        <f t="shared" si="3"/>
        <v>432</v>
      </c>
      <c r="C38">
        <f ca="1">SUM(INDIRECT("TLG65_MONTHLYFNF!G"&amp;6+B38):INDIRECT("TLG65_MONTHLYFNF!G"&amp;10+B38))</f>
        <v>1812320</v>
      </c>
      <c r="D38">
        <f t="shared" ca="1" si="0"/>
        <v>1812.32</v>
      </c>
      <c r="E38">
        <f t="shared" ca="1" si="1"/>
        <v>724.928</v>
      </c>
    </row>
    <row r="39" spans="1:5">
      <c r="A39">
        <f t="shared" si="2"/>
        <v>1938</v>
      </c>
      <c r="B39">
        <f t="shared" si="3"/>
        <v>444</v>
      </c>
      <c r="C39">
        <f ca="1">SUM(INDIRECT("TLG65_MONTHLYFNF!G"&amp;6+B39):INDIRECT("TLG65_MONTHLYFNF!G"&amp;10+B39))</f>
        <v>2601720</v>
      </c>
      <c r="D39">
        <f t="shared" ca="1" si="0"/>
        <v>2601.7199999999998</v>
      </c>
      <c r="E39">
        <f t="shared" ca="1" si="1"/>
        <v>1040.6879999999999</v>
      </c>
    </row>
    <row r="40" spans="1:5">
      <c r="A40">
        <f t="shared" si="2"/>
        <v>1939</v>
      </c>
      <c r="B40">
        <f t="shared" si="3"/>
        <v>456</v>
      </c>
      <c r="C40">
        <f ca="1">SUM(INDIRECT("TLG65_MONTHLYFNF!G"&amp;6+B40):INDIRECT("TLG65_MONTHLYFNF!G"&amp;10+B40))</f>
        <v>776310</v>
      </c>
      <c r="D40">
        <f t="shared" ca="1" si="0"/>
        <v>776.31</v>
      </c>
      <c r="E40">
        <f t="shared" ca="1" si="1"/>
        <v>310.524</v>
      </c>
    </row>
    <row r="41" spans="1:5">
      <c r="A41">
        <f t="shared" si="2"/>
        <v>1940</v>
      </c>
      <c r="B41">
        <f t="shared" si="3"/>
        <v>468</v>
      </c>
      <c r="C41">
        <f ca="1">SUM(INDIRECT("TLG65_MONTHLYFNF!G"&amp;6+B41):INDIRECT("TLG65_MONTHLYFNF!G"&amp;10+B41))</f>
        <v>1837600</v>
      </c>
      <c r="D41">
        <f t="shared" ca="1" si="0"/>
        <v>1837.6</v>
      </c>
      <c r="E41">
        <f t="shared" ca="1" si="1"/>
        <v>735.04</v>
      </c>
    </row>
    <row r="42" spans="1:5">
      <c r="A42">
        <f t="shared" si="2"/>
        <v>1941</v>
      </c>
      <c r="B42">
        <f t="shared" si="3"/>
        <v>480</v>
      </c>
      <c r="C42">
        <f ca="1">SUM(INDIRECT("TLG65_MONTHLYFNF!G"&amp;6+B42):INDIRECT("TLG65_MONTHLYFNF!G"&amp;10+B42))</f>
        <v>1955790</v>
      </c>
      <c r="D42">
        <f t="shared" ca="1" si="0"/>
        <v>1955.79</v>
      </c>
      <c r="E42">
        <f t="shared" ca="1" si="1"/>
        <v>782.31600000000003</v>
      </c>
    </row>
    <row r="43" spans="1:5">
      <c r="A43">
        <f t="shared" si="2"/>
        <v>1942</v>
      </c>
      <c r="B43">
        <f t="shared" si="3"/>
        <v>492</v>
      </c>
      <c r="C43">
        <f ca="1">SUM(INDIRECT("TLG65_MONTHLYFNF!G"&amp;6+B43):INDIRECT("TLG65_MONTHLYFNF!G"&amp;10+B43))</f>
        <v>1697700</v>
      </c>
      <c r="D43">
        <f t="shared" ca="1" si="0"/>
        <v>1697.7</v>
      </c>
      <c r="E43">
        <f t="shared" ca="1" si="1"/>
        <v>679.08</v>
      </c>
    </row>
    <row r="44" spans="1:5">
      <c r="A44">
        <f t="shared" si="2"/>
        <v>1943</v>
      </c>
      <c r="B44">
        <f t="shared" si="3"/>
        <v>504</v>
      </c>
      <c r="C44">
        <f ca="1">SUM(INDIRECT("TLG65_MONTHLYFNF!G"&amp;6+B44):INDIRECT("TLG65_MONTHLYFNF!G"&amp;10+B44))</f>
        <v>1768270</v>
      </c>
      <c r="D44">
        <f t="shared" ca="1" si="0"/>
        <v>1768.27</v>
      </c>
      <c r="E44">
        <f t="shared" ca="1" si="1"/>
        <v>707.30799999999999</v>
      </c>
    </row>
    <row r="45" spans="1:5">
      <c r="A45">
        <f t="shared" si="2"/>
        <v>1944</v>
      </c>
      <c r="B45">
        <f t="shared" si="3"/>
        <v>516</v>
      </c>
      <c r="C45">
        <f ca="1">SUM(INDIRECT("TLG65_MONTHLYFNF!G"&amp;6+B45):INDIRECT("TLG65_MONTHLYFNF!G"&amp;10+B45))</f>
        <v>1103230</v>
      </c>
      <c r="D45">
        <f t="shared" ca="1" si="0"/>
        <v>1103.23</v>
      </c>
      <c r="E45">
        <f t="shared" ca="1" si="1"/>
        <v>441.29200000000003</v>
      </c>
    </row>
    <row r="46" spans="1:5">
      <c r="A46">
        <f t="shared" si="2"/>
        <v>1945</v>
      </c>
      <c r="B46">
        <f t="shared" si="3"/>
        <v>528</v>
      </c>
      <c r="C46">
        <f ca="1">SUM(INDIRECT("TLG65_MONTHLYFNF!G"&amp;6+B46):INDIRECT("TLG65_MONTHLYFNF!G"&amp;10+B46))</f>
        <v>1670840</v>
      </c>
      <c r="D46">
        <f t="shared" ca="1" si="0"/>
        <v>1670.84</v>
      </c>
      <c r="E46">
        <f t="shared" ca="1" si="1"/>
        <v>668.33600000000001</v>
      </c>
    </row>
    <row r="47" spans="1:5">
      <c r="A47">
        <f t="shared" si="2"/>
        <v>1946</v>
      </c>
      <c r="B47">
        <f t="shared" si="3"/>
        <v>540</v>
      </c>
      <c r="C47">
        <f ca="1">SUM(INDIRECT("TLG65_MONTHLYFNF!G"&amp;6+B47):INDIRECT("TLG65_MONTHLYFNF!G"&amp;10+B47))</f>
        <v>1326590</v>
      </c>
      <c r="D47">
        <f t="shared" ca="1" si="0"/>
        <v>1326.59</v>
      </c>
      <c r="E47">
        <f t="shared" ca="1" si="1"/>
        <v>530.63599999999997</v>
      </c>
    </row>
    <row r="48" spans="1:5">
      <c r="A48">
        <f t="shared" si="2"/>
        <v>1947</v>
      </c>
      <c r="B48">
        <f t="shared" si="3"/>
        <v>552</v>
      </c>
      <c r="C48">
        <f ca="1">SUM(INDIRECT("TLG65_MONTHLYFNF!G"&amp;6+B48):INDIRECT("TLG65_MONTHLYFNF!G"&amp;10+B48))</f>
        <v>871750</v>
      </c>
      <c r="D48">
        <f t="shared" ca="1" si="0"/>
        <v>871.75</v>
      </c>
      <c r="E48">
        <f t="shared" ca="1" si="1"/>
        <v>348.70000000000005</v>
      </c>
    </row>
    <row r="49" spans="1:5">
      <c r="A49">
        <f t="shared" si="2"/>
        <v>1948</v>
      </c>
      <c r="B49">
        <f t="shared" si="3"/>
        <v>564</v>
      </c>
      <c r="C49">
        <f ca="1">SUM(INDIRECT("TLG65_MONTHLYFNF!G"&amp;6+B49):INDIRECT("TLG65_MONTHLYFNF!G"&amp;10+B49))</f>
        <v>1189930</v>
      </c>
      <c r="D49">
        <f t="shared" ca="1" si="0"/>
        <v>1189.93</v>
      </c>
      <c r="E49">
        <f t="shared" ca="1" si="1"/>
        <v>475.97200000000004</v>
      </c>
    </row>
    <row r="50" spans="1:5">
      <c r="A50">
        <f t="shared" si="2"/>
        <v>1949</v>
      </c>
      <c r="B50">
        <f t="shared" si="3"/>
        <v>576</v>
      </c>
      <c r="C50">
        <f ca="1">SUM(INDIRECT("TLG65_MONTHLYFNF!G"&amp;6+B50):INDIRECT("TLG65_MONTHLYFNF!G"&amp;10+B50))</f>
        <v>1157400</v>
      </c>
      <c r="D50">
        <f t="shared" ca="1" si="0"/>
        <v>1157.4000000000001</v>
      </c>
      <c r="E50">
        <f t="shared" ca="1" si="1"/>
        <v>462.96000000000004</v>
      </c>
    </row>
    <row r="51" spans="1:5">
      <c r="A51">
        <f t="shared" si="2"/>
        <v>1950</v>
      </c>
      <c r="B51">
        <f t="shared" si="3"/>
        <v>588</v>
      </c>
      <c r="C51">
        <f ca="1">SUM(INDIRECT("TLG65_MONTHLYFNF!G"&amp;6+B51):INDIRECT("TLG65_MONTHLYFNF!G"&amp;10+B51))</f>
        <v>1368590</v>
      </c>
      <c r="D51">
        <f t="shared" ca="1" si="0"/>
        <v>1368.59</v>
      </c>
      <c r="E51">
        <f t="shared" ca="1" si="1"/>
        <v>547.43600000000004</v>
      </c>
    </row>
    <row r="52" spans="1:5">
      <c r="A52">
        <f t="shared" si="2"/>
        <v>1951</v>
      </c>
      <c r="B52">
        <f t="shared" si="3"/>
        <v>600</v>
      </c>
      <c r="C52">
        <f ca="1">SUM(INDIRECT("TLG65_MONTHLYFNF!G"&amp;6+B52):INDIRECT("TLG65_MONTHLYFNF!G"&amp;10+B52))</f>
        <v>1191010</v>
      </c>
      <c r="D52">
        <f t="shared" ca="1" si="0"/>
        <v>1191.01</v>
      </c>
      <c r="E52">
        <f t="shared" ca="1" si="1"/>
        <v>476.404</v>
      </c>
    </row>
    <row r="53" spans="1:5">
      <c r="A53">
        <f t="shared" si="2"/>
        <v>1952</v>
      </c>
      <c r="B53">
        <f t="shared" si="3"/>
        <v>612</v>
      </c>
      <c r="C53">
        <f ca="1">SUM(INDIRECT("TLG65_MONTHLYFNF!G"&amp;6+B53):INDIRECT("TLG65_MONTHLYFNF!G"&amp;10+B53))</f>
        <v>2239530</v>
      </c>
      <c r="D53">
        <f t="shared" ca="1" si="0"/>
        <v>2239.5300000000002</v>
      </c>
      <c r="E53">
        <f t="shared" ca="1" si="1"/>
        <v>895.81200000000013</v>
      </c>
    </row>
    <row r="54" spans="1:5">
      <c r="A54">
        <f t="shared" si="2"/>
        <v>1953</v>
      </c>
      <c r="B54">
        <f t="shared" si="3"/>
        <v>624</v>
      </c>
      <c r="C54">
        <f ca="1">SUM(INDIRECT("TLG65_MONTHLYFNF!G"&amp;6+B54):INDIRECT("TLG65_MONTHLYFNF!G"&amp;10+B54))</f>
        <v>1113710</v>
      </c>
      <c r="D54">
        <f t="shared" ca="1" si="0"/>
        <v>1113.71</v>
      </c>
      <c r="E54">
        <f t="shared" ca="1" si="1"/>
        <v>445.48400000000004</v>
      </c>
    </row>
    <row r="55" spans="1:5">
      <c r="A55">
        <f t="shared" si="2"/>
        <v>1954</v>
      </c>
      <c r="B55">
        <f t="shared" si="3"/>
        <v>636</v>
      </c>
      <c r="C55">
        <f ca="1">SUM(INDIRECT("TLG65_MONTHLYFNF!G"&amp;6+B55):INDIRECT("TLG65_MONTHLYFNF!G"&amp;10+B55))</f>
        <v>1296440</v>
      </c>
      <c r="D55">
        <f t="shared" ca="1" si="0"/>
        <v>1296.44</v>
      </c>
      <c r="E55">
        <f t="shared" ca="1" si="1"/>
        <v>518.57600000000002</v>
      </c>
    </row>
    <row r="56" spans="1:5">
      <c r="A56">
        <f t="shared" si="2"/>
        <v>1955</v>
      </c>
      <c r="B56">
        <f t="shared" si="3"/>
        <v>648</v>
      </c>
      <c r="C56">
        <f ca="1">SUM(INDIRECT("TLG65_MONTHLYFNF!G"&amp;6+B56):INDIRECT("TLG65_MONTHLYFNF!G"&amp;10+B56))</f>
        <v>946150</v>
      </c>
      <c r="D56">
        <f t="shared" ca="1" si="0"/>
        <v>946.15</v>
      </c>
      <c r="E56">
        <f t="shared" ca="1" si="1"/>
        <v>378.46000000000004</v>
      </c>
    </row>
    <row r="57" spans="1:5">
      <c r="A57">
        <f t="shared" si="2"/>
        <v>1956</v>
      </c>
      <c r="B57">
        <f t="shared" si="3"/>
        <v>660</v>
      </c>
      <c r="C57">
        <f ca="1">SUM(INDIRECT("TLG65_MONTHLYFNF!G"&amp;6+B57):INDIRECT("TLG65_MONTHLYFNF!G"&amp;10+B57))</f>
        <v>1757900</v>
      </c>
      <c r="D57">
        <f t="shared" ca="1" si="0"/>
        <v>1757.9</v>
      </c>
      <c r="E57">
        <f t="shared" ca="1" si="1"/>
        <v>703.16000000000008</v>
      </c>
    </row>
    <row r="58" spans="1:5">
      <c r="A58">
        <f t="shared" si="2"/>
        <v>1957</v>
      </c>
      <c r="B58">
        <f t="shared" si="3"/>
        <v>672</v>
      </c>
      <c r="C58">
        <f ca="1">SUM(INDIRECT("TLG65_MONTHLYFNF!G"&amp;6+B58):INDIRECT("TLG65_MONTHLYFNF!G"&amp;10+B58))</f>
        <v>1234760</v>
      </c>
      <c r="D58">
        <f t="shared" ca="1" si="0"/>
        <v>1234.76</v>
      </c>
      <c r="E58">
        <f t="shared" ca="1" si="1"/>
        <v>493.904</v>
      </c>
    </row>
    <row r="59" spans="1:5">
      <c r="A59">
        <f t="shared" si="2"/>
        <v>1958</v>
      </c>
      <c r="B59">
        <f t="shared" si="3"/>
        <v>684</v>
      </c>
      <c r="C59">
        <f ca="1">SUM(INDIRECT("TLG65_MONTHLYFNF!G"&amp;6+B59):INDIRECT("TLG65_MONTHLYFNF!G"&amp;10+B59))</f>
        <v>2199130</v>
      </c>
      <c r="D59">
        <f t="shared" ca="1" si="0"/>
        <v>2199.13</v>
      </c>
      <c r="E59">
        <f t="shared" ca="1" si="1"/>
        <v>879.65200000000004</v>
      </c>
    </row>
    <row r="60" spans="1:5">
      <c r="A60">
        <f t="shared" si="2"/>
        <v>1959</v>
      </c>
      <c r="B60">
        <f t="shared" si="3"/>
        <v>696</v>
      </c>
      <c r="C60">
        <f ca="1">SUM(INDIRECT("TLG65_MONTHLYFNF!G"&amp;6+B60):INDIRECT("TLG65_MONTHLYFNF!G"&amp;10+B60))</f>
        <v>829580</v>
      </c>
      <c r="D60">
        <f t="shared" ca="1" si="0"/>
        <v>829.58</v>
      </c>
      <c r="E60">
        <f t="shared" ca="1" si="1"/>
        <v>331.83200000000005</v>
      </c>
    </row>
    <row r="61" spans="1:5">
      <c r="A61">
        <f t="shared" si="2"/>
        <v>1960</v>
      </c>
      <c r="B61">
        <f t="shared" si="3"/>
        <v>708</v>
      </c>
      <c r="C61">
        <f ca="1">SUM(INDIRECT("TLG65_MONTHLYFNF!G"&amp;6+B61):INDIRECT("TLG65_MONTHLYFNF!G"&amp;10+B61))</f>
        <v>973030</v>
      </c>
      <c r="D61">
        <f t="shared" ca="1" si="0"/>
        <v>973.03</v>
      </c>
      <c r="E61">
        <f t="shared" ca="1" si="1"/>
        <v>389.21199999999999</v>
      </c>
    </row>
    <row r="62" spans="1:5">
      <c r="A62">
        <f t="shared" si="2"/>
        <v>1961</v>
      </c>
      <c r="B62">
        <f t="shared" si="3"/>
        <v>720</v>
      </c>
      <c r="C62">
        <f ca="1">SUM(INDIRECT("TLG65_MONTHLYFNF!G"&amp;6+B62):INDIRECT("TLG65_MONTHLYFNF!G"&amp;10+B62))</f>
        <v>624880</v>
      </c>
      <c r="D62">
        <f t="shared" ca="1" si="0"/>
        <v>624.88</v>
      </c>
      <c r="E62">
        <f t="shared" ca="1" si="1"/>
        <v>249.952</v>
      </c>
    </row>
    <row r="63" spans="1:5">
      <c r="A63">
        <f t="shared" si="2"/>
        <v>1962</v>
      </c>
      <c r="B63">
        <f t="shared" si="3"/>
        <v>732</v>
      </c>
      <c r="C63">
        <f ca="1">SUM(INDIRECT("TLG65_MONTHLYFNF!G"&amp;6+B63):INDIRECT("TLG65_MONTHLYFNF!G"&amp;10+B63))</f>
        <v>1569420</v>
      </c>
      <c r="D63">
        <f t="shared" ca="1" si="0"/>
        <v>1569.42</v>
      </c>
      <c r="E63">
        <f t="shared" ca="1" si="1"/>
        <v>627.76800000000003</v>
      </c>
    </row>
    <row r="64" spans="1:5">
      <c r="A64">
        <f t="shared" si="2"/>
        <v>1963</v>
      </c>
      <c r="B64">
        <f t="shared" si="3"/>
        <v>744</v>
      </c>
      <c r="C64">
        <f ca="1">SUM(INDIRECT("TLG65_MONTHLYFNF!G"&amp;6+B64):INDIRECT("TLG65_MONTHLYFNF!G"&amp;10+B64))</f>
        <v>1665560</v>
      </c>
      <c r="D64">
        <f t="shared" ca="1" si="0"/>
        <v>1665.56</v>
      </c>
      <c r="E64">
        <f t="shared" ca="1" si="1"/>
        <v>666.22400000000005</v>
      </c>
    </row>
    <row r="65" spans="1:5">
      <c r="A65">
        <f t="shared" si="2"/>
        <v>1964</v>
      </c>
      <c r="B65">
        <f t="shared" si="3"/>
        <v>756</v>
      </c>
      <c r="C65">
        <f ca="1">SUM(INDIRECT("TLG65_MONTHLYFNF!G"&amp;6+B65):INDIRECT("TLG65_MONTHLYFNF!G"&amp;10+B65))</f>
        <v>844360</v>
      </c>
      <c r="D65">
        <f t="shared" ca="1" si="0"/>
        <v>844.36</v>
      </c>
      <c r="E65">
        <f t="shared" ca="1" si="1"/>
        <v>337.74400000000003</v>
      </c>
    </row>
    <row r="66" spans="1:5">
      <c r="A66">
        <f t="shared" si="2"/>
        <v>1965</v>
      </c>
      <c r="B66">
        <f t="shared" si="3"/>
        <v>768</v>
      </c>
      <c r="C66">
        <f ca="1">SUM(INDIRECT("TLG65_MONTHLYFNF!G"&amp;6+B66):INDIRECT("TLG65_MONTHLYFNF!G"&amp;10+B66))</f>
        <v>1533480</v>
      </c>
      <c r="D66">
        <f t="shared" ca="1" si="0"/>
        <v>1533.48</v>
      </c>
      <c r="E66">
        <f t="shared" ca="1" si="1"/>
        <v>613.39200000000005</v>
      </c>
    </row>
    <row r="67" spans="1:5">
      <c r="A67">
        <f t="shared" si="2"/>
        <v>1966</v>
      </c>
      <c r="B67">
        <f t="shared" si="3"/>
        <v>780</v>
      </c>
      <c r="C67">
        <f ca="1">SUM(INDIRECT("TLG65_MONTHLYFNF!G"&amp;6+B67):INDIRECT("TLG65_MONTHLYFNF!G"&amp;10+B67))</f>
        <v>961100</v>
      </c>
      <c r="D67">
        <f t="shared" ref="D67:D123" ca="1" si="4">C67/1000</f>
        <v>961.1</v>
      </c>
      <c r="E67">
        <f t="shared" ref="E67:E123" ca="1" si="5">D67*0.4</f>
        <v>384.44000000000005</v>
      </c>
    </row>
    <row r="68" spans="1:5">
      <c r="A68">
        <f t="shared" si="2"/>
        <v>1967</v>
      </c>
      <c r="B68">
        <f t="shared" si="3"/>
        <v>792</v>
      </c>
      <c r="C68">
        <f ca="1">SUM(INDIRECT("TLG65_MONTHLYFNF!G"&amp;6+B68):INDIRECT("TLG65_MONTHLYFNF!G"&amp;10+B68))</f>
        <v>2103340</v>
      </c>
      <c r="D68">
        <f t="shared" ca="1" si="4"/>
        <v>2103.34</v>
      </c>
      <c r="E68">
        <f t="shared" ca="1" si="5"/>
        <v>841.33600000000013</v>
      </c>
    </row>
    <row r="69" spans="1:5">
      <c r="A69">
        <f t="shared" ref="A69:A112" si="6">A68+1</f>
        <v>1968</v>
      </c>
      <c r="B69">
        <f t="shared" ref="B69:B112" si="7">B68+12</f>
        <v>804</v>
      </c>
      <c r="C69">
        <f ca="1">SUM(INDIRECT("TLG65_MONTHLYFNF!G"&amp;6+B69):INDIRECT("TLG65_MONTHLYFNF!G"&amp;10+B69))</f>
        <v>873450</v>
      </c>
      <c r="D69">
        <f t="shared" ca="1" si="4"/>
        <v>873.45</v>
      </c>
      <c r="E69">
        <f t="shared" ca="1" si="5"/>
        <v>349.38000000000005</v>
      </c>
    </row>
    <row r="70" spans="1:5">
      <c r="A70">
        <f t="shared" si="6"/>
        <v>1969</v>
      </c>
      <c r="B70">
        <f t="shared" si="7"/>
        <v>816</v>
      </c>
      <c r="C70">
        <f ca="1">SUM(INDIRECT("TLG65_MONTHLYFNF!G"&amp;6+B70):INDIRECT("TLG65_MONTHLYFNF!G"&amp;10+B70))</f>
        <v>2715800</v>
      </c>
      <c r="D70">
        <f t="shared" ca="1" si="4"/>
        <v>2715.8</v>
      </c>
      <c r="E70">
        <f t="shared" ca="1" si="5"/>
        <v>1086.3200000000002</v>
      </c>
    </row>
    <row r="71" spans="1:5">
      <c r="A71">
        <f t="shared" si="6"/>
        <v>1970</v>
      </c>
      <c r="B71">
        <f t="shared" si="7"/>
        <v>828</v>
      </c>
      <c r="C71">
        <f ca="1">SUM(INDIRECT("TLG65_MONTHLYFNF!G"&amp;6+B71):INDIRECT("TLG65_MONTHLYFNF!G"&amp;10+B71))</f>
        <v>1234222</v>
      </c>
      <c r="D71">
        <f t="shared" ca="1" si="4"/>
        <v>1234.222</v>
      </c>
      <c r="E71">
        <f t="shared" ca="1" si="5"/>
        <v>493.68880000000001</v>
      </c>
    </row>
    <row r="72" spans="1:5">
      <c r="A72">
        <f t="shared" si="6"/>
        <v>1971</v>
      </c>
      <c r="B72">
        <f t="shared" si="7"/>
        <v>840</v>
      </c>
      <c r="C72">
        <f ca="1">SUM(INDIRECT("TLG65_MONTHLYFNF!G"&amp;6+B72):INDIRECT("TLG65_MONTHLYFNF!G"&amp;10+B72))</f>
        <v>1202001</v>
      </c>
      <c r="D72">
        <f t="shared" ca="1" si="4"/>
        <v>1202.001</v>
      </c>
      <c r="E72">
        <f t="shared" ca="1" si="5"/>
        <v>480.80040000000002</v>
      </c>
    </row>
    <row r="73" spans="1:5">
      <c r="A73">
        <f t="shared" si="6"/>
        <v>1972</v>
      </c>
      <c r="B73">
        <f t="shared" si="7"/>
        <v>852</v>
      </c>
      <c r="C73">
        <f ca="1">SUM(INDIRECT("TLG65_MONTHLYFNF!G"&amp;6+B73):INDIRECT("TLG65_MONTHLYFNF!G"&amp;10+B73))</f>
        <v>978948</v>
      </c>
      <c r="D73">
        <f t="shared" ca="1" si="4"/>
        <v>978.94799999999998</v>
      </c>
      <c r="E73">
        <f t="shared" ca="1" si="5"/>
        <v>391.57920000000001</v>
      </c>
    </row>
    <row r="74" spans="1:5">
      <c r="A74">
        <f t="shared" si="6"/>
        <v>1973</v>
      </c>
      <c r="B74">
        <f t="shared" si="7"/>
        <v>864</v>
      </c>
      <c r="C74">
        <f ca="1">SUM(INDIRECT("TLG65_MONTHLYFNF!G"&amp;6+B74):INDIRECT("TLG65_MONTHLYFNF!G"&amp;10+B74))</f>
        <v>1674435</v>
      </c>
      <c r="D74">
        <f t="shared" ca="1" si="4"/>
        <v>1674.4349999999999</v>
      </c>
      <c r="E74">
        <f t="shared" ca="1" si="5"/>
        <v>669.774</v>
      </c>
    </row>
    <row r="75" spans="1:5">
      <c r="A75">
        <f t="shared" si="6"/>
        <v>1974</v>
      </c>
      <c r="B75">
        <f t="shared" si="7"/>
        <v>876</v>
      </c>
      <c r="C75">
        <f ca="1">SUM(INDIRECT("TLG65_MONTHLYFNF!G"&amp;6+B75):INDIRECT("TLG65_MONTHLYFNF!G"&amp;10+B75))</f>
        <v>1573279</v>
      </c>
      <c r="D75">
        <f t="shared" ca="1" si="4"/>
        <v>1573.279</v>
      </c>
      <c r="E75">
        <f t="shared" ca="1" si="5"/>
        <v>629.3116</v>
      </c>
    </row>
    <row r="76" spans="1:5">
      <c r="A76">
        <f t="shared" si="6"/>
        <v>1975</v>
      </c>
      <c r="B76">
        <f t="shared" si="7"/>
        <v>888</v>
      </c>
      <c r="C76">
        <f ca="1">SUM(INDIRECT("TLG65_MONTHLYFNF!G"&amp;6+B76):INDIRECT("TLG65_MONTHLYFNF!G"&amp;10+B76))</f>
        <v>1723135</v>
      </c>
      <c r="D76">
        <f t="shared" ca="1" si="4"/>
        <v>1723.135</v>
      </c>
      <c r="E76">
        <f t="shared" ca="1" si="5"/>
        <v>689.25400000000002</v>
      </c>
    </row>
    <row r="77" spans="1:5">
      <c r="A77">
        <f t="shared" si="6"/>
        <v>1976</v>
      </c>
      <c r="B77">
        <f t="shared" si="7"/>
        <v>900</v>
      </c>
      <c r="C77">
        <f ca="1">SUM(INDIRECT("TLG65_MONTHLYFNF!G"&amp;6+B77):INDIRECT("TLG65_MONTHLYFNF!G"&amp;10+B77))</f>
        <v>456623</v>
      </c>
      <c r="D77">
        <f t="shared" ca="1" si="4"/>
        <v>456.62299999999999</v>
      </c>
      <c r="E77">
        <f t="shared" ca="1" si="5"/>
        <v>182.64920000000001</v>
      </c>
    </row>
    <row r="78" spans="1:5">
      <c r="A78">
        <f t="shared" si="6"/>
        <v>1977</v>
      </c>
      <c r="B78">
        <f t="shared" si="7"/>
        <v>912</v>
      </c>
      <c r="C78">
        <f ca="1">SUM(INDIRECT("TLG65_MONTHLYFNF!G"&amp;6+B78):INDIRECT("TLG65_MONTHLYFNF!G"&amp;10+B78))</f>
        <v>330233</v>
      </c>
      <c r="D78">
        <f t="shared" ca="1" si="4"/>
        <v>330.233</v>
      </c>
      <c r="E78">
        <f t="shared" ca="1" si="5"/>
        <v>132.0932</v>
      </c>
    </row>
    <row r="79" spans="1:5">
      <c r="A79">
        <f t="shared" si="6"/>
        <v>1978</v>
      </c>
      <c r="B79">
        <f t="shared" si="7"/>
        <v>924</v>
      </c>
      <c r="C79">
        <f ca="1">SUM(INDIRECT("TLG65_MONTHLYFNF!G"&amp;6+B79):INDIRECT("TLG65_MONTHLYFNF!G"&amp;10+B79))</f>
        <v>2145015</v>
      </c>
      <c r="D79">
        <f t="shared" ca="1" si="4"/>
        <v>2145.0149999999999</v>
      </c>
      <c r="E79">
        <f t="shared" ca="1" si="5"/>
        <v>858.00599999999997</v>
      </c>
    </row>
    <row r="80" spans="1:5">
      <c r="A80">
        <f t="shared" si="6"/>
        <v>1979</v>
      </c>
      <c r="B80">
        <f t="shared" si="7"/>
        <v>936</v>
      </c>
      <c r="C80">
        <f ca="1">SUM(INDIRECT("TLG65_MONTHLYFNF!G"&amp;6+B80):INDIRECT("TLG65_MONTHLYFNF!G"&amp;10+B80))</f>
        <v>1591711</v>
      </c>
      <c r="D80">
        <f t="shared" ca="1" si="4"/>
        <v>1591.711</v>
      </c>
      <c r="E80">
        <f t="shared" ca="1" si="5"/>
        <v>636.6844000000001</v>
      </c>
    </row>
    <row r="81" spans="1:5">
      <c r="A81">
        <f t="shared" si="6"/>
        <v>1980</v>
      </c>
      <c r="B81">
        <f t="shared" si="7"/>
        <v>948</v>
      </c>
      <c r="C81">
        <f ca="1">SUM(INDIRECT("TLG65_MONTHLYFNF!G"&amp;6+B81):INDIRECT("TLG65_MONTHLYFNF!G"&amp;10+B81))</f>
        <v>1964467</v>
      </c>
      <c r="D81">
        <f t="shared" ca="1" si="4"/>
        <v>1964.4670000000001</v>
      </c>
      <c r="E81">
        <f t="shared" ca="1" si="5"/>
        <v>785.78680000000008</v>
      </c>
    </row>
    <row r="82" spans="1:5">
      <c r="A82">
        <f t="shared" si="6"/>
        <v>1981</v>
      </c>
      <c r="B82">
        <f t="shared" si="7"/>
        <v>960</v>
      </c>
      <c r="C82">
        <f ca="1">SUM(INDIRECT("TLG65_MONTHLYFNF!G"&amp;6+B82):INDIRECT("TLG65_MONTHLYFNF!G"&amp;10+B82))</f>
        <v>912263</v>
      </c>
      <c r="D82">
        <f t="shared" ca="1" si="4"/>
        <v>912.26300000000003</v>
      </c>
      <c r="E82">
        <f t="shared" ca="1" si="5"/>
        <v>364.90520000000004</v>
      </c>
    </row>
    <row r="83" spans="1:5">
      <c r="A83">
        <f t="shared" si="6"/>
        <v>1982</v>
      </c>
      <c r="B83">
        <f t="shared" si="7"/>
        <v>972</v>
      </c>
      <c r="C83">
        <f ca="1">SUM(INDIRECT("TLG65_MONTHLYFNF!G"&amp;6+B83):INDIRECT("TLG65_MONTHLYFNF!G"&amp;10+B83))</f>
        <v>2648388</v>
      </c>
      <c r="D83">
        <f t="shared" ca="1" si="4"/>
        <v>2648.3879999999999</v>
      </c>
      <c r="E83">
        <f t="shared" ca="1" si="5"/>
        <v>1059.3552</v>
      </c>
    </row>
    <row r="84" spans="1:5">
      <c r="A84">
        <f t="shared" si="6"/>
        <v>1983</v>
      </c>
      <c r="B84">
        <f t="shared" si="7"/>
        <v>984</v>
      </c>
      <c r="C84">
        <f ca="1">SUM(INDIRECT("TLG65_MONTHLYFNF!G"&amp;6+B84):INDIRECT("TLG65_MONTHLYFNF!G"&amp;10+B84))</f>
        <v>2903632</v>
      </c>
      <c r="D84">
        <f t="shared" ca="1" si="4"/>
        <v>2903.6320000000001</v>
      </c>
      <c r="E84">
        <f t="shared" ca="1" si="5"/>
        <v>1161.4528</v>
      </c>
    </row>
    <row r="85" spans="1:5">
      <c r="A85">
        <f t="shared" si="6"/>
        <v>1984</v>
      </c>
      <c r="B85">
        <f t="shared" si="7"/>
        <v>996</v>
      </c>
      <c r="C85">
        <f ca="1">SUM(INDIRECT("TLG65_MONTHLYFNF!G"&amp;6+B85):INDIRECT("TLG65_MONTHLYFNF!G"&amp;10+B85))</f>
        <v>1418372</v>
      </c>
      <c r="D85">
        <f t="shared" ca="1" si="4"/>
        <v>1418.3720000000001</v>
      </c>
      <c r="E85">
        <f t="shared" ca="1" si="5"/>
        <v>567.3488000000001</v>
      </c>
    </row>
    <row r="86" spans="1:5">
      <c r="A86">
        <f t="shared" si="6"/>
        <v>1985</v>
      </c>
      <c r="B86">
        <f t="shared" si="7"/>
        <v>1008</v>
      </c>
      <c r="C86">
        <f ca="1">SUM(INDIRECT("TLG65_MONTHLYFNF!G"&amp;6+B86):INDIRECT("TLG65_MONTHLYFNF!G"&amp;10+B86))</f>
        <v>972756</v>
      </c>
      <c r="D86">
        <f t="shared" ca="1" si="4"/>
        <v>972.75599999999997</v>
      </c>
      <c r="E86">
        <f t="shared" ca="1" si="5"/>
        <v>389.10239999999999</v>
      </c>
    </row>
    <row r="87" spans="1:5">
      <c r="A87">
        <f t="shared" si="6"/>
        <v>1986</v>
      </c>
      <c r="B87">
        <f t="shared" si="7"/>
        <v>1020</v>
      </c>
      <c r="C87">
        <f ca="1">SUM(INDIRECT("TLG65_MONTHLYFNF!G"&amp;6+B87):INDIRECT("TLG65_MONTHLYFNF!G"&amp;10+B87))</f>
        <v>2475708</v>
      </c>
      <c r="D87">
        <f t="shared" ca="1" si="4"/>
        <v>2475.7080000000001</v>
      </c>
      <c r="E87">
        <f t="shared" ca="1" si="5"/>
        <v>990.28320000000008</v>
      </c>
    </row>
    <row r="88" spans="1:5">
      <c r="A88">
        <f t="shared" si="6"/>
        <v>1987</v>
      </c>
      <c r="B88">
        <f t="shared" si="7"/>
        <v>1032</v>
      </c>
      <c r="C88">
        <f ca="1">SUM(INDIRECT("TLG65_MONTHLYFNF!G"&amp;6+B88):INDIRECT("TLG65_MONTHLYFNF!G"&amp;10+B88))</f>
        <v>588509</v>
      </c>
      <c r="D88">
        <f t="shared" ca="1" si="4"/>
        <v>588.50900000000001</v>
      </c>
      <c r="E88">
        <f t="shared" ca="1" si="5"/>
        <v>235.40360000000001</v>
      </c>
    </row>
    <row r="89" spans="1:5">
      <c r="A89">
        <f t="shared" si="6"/>
        <v>1988</v>
      </c>
      <c r="B89">
        <f t="shared" si="7"/>
        <v>1044</v>
      </c>
      <c r="C89">
        <f ca="1">SUM(INDIRECT("TLG65_MONTHLYFNF!G"&amp;6+B89):INDIRECT("TLG65_MONTHLYFNF!G"&amp;10+B89))</f>
        <v>632490</v>
      </c>
      <c r="D89">
        <f t="shared" ca="1" si="4"/>
        <v>632.49</v>
      </c>
      <c r="E89">
        <f t="shared" ca="1" si="5"/>
        <v>252.99600000000001</v>
      </c>
    </row>
    <row r="90" spans="1:5">
      <c r="A90">
        <f t="shared" si="6"/>
        <v>1989</v>
      </c>
      <c r="B90">
        <f t="shared" si="7"/>
        <v>1056</v>
      </c>
      <c r="C90">
        <f ca="1">SUM(INDIRECT("TLG65_MONTHLYFNF!G"&amp;6+B90):INDIRECT("TLG65_MONTHLYFNF!G"&amp;10+B90))</f>
        <v>1184126</v>
      </c>
      <c r="D90">
        <f t="shared" ca="1" si="4"/>
        <v>1184.126</v>
      </c>
      <c r="E90">
        <f t="shared" ca="1" si="5"/>
        <v>473.65039999999999</v>
      </c>
    </row>
    <row r="91" spans="1:5">
      <c r="A91">
        <f t="shared" si="6"/>
        <v>1990</v>
      </c>
      <c r="B91">
        <f t="shared" si="7"/>
        <v>1068</v>
      </c>
      <c r="C91">
        <f ca="1">SUM(INDIRECT("TLG65_MONTHLYFNF!G"&amp;6+B91):INDIRECT("TLG65_MONTHLYFNF!G"&amp;10+B91))</f>
        <v>684665</v>
      </c>
      <c r="D91">
        <f t="shared" ca="1" si="4"/>
        <v>684.66499999999996</v>
      </c>
      <c r="E91">
        <f t="shared" ca="1" si="5"/>
        <v>273.86599999999999</v>
      </c>
    </row>
    <row r="92" spans="1:5">
      <c r="A92">
        <f t="shared" si="6"/>
        <v>1991</v>
      </c>
      <c r="B92">
        <f t="shared" si="7"/>
        <v>1080</v>
      </c>
      <c r="C92">
        <f ca="1">SUM(INDIRECT("TLG65_MONTHLYFNF!G"&amp;6+B92):INDIRECT("TLG65_MONTHLYFNF!G"&amp;10+B92))</f>
        <v>986853</v>
      </c>
      <c r="D92">
        <f t="shared" ca="1" si="4"/>
        <v>986.85299999999995</v>
      </c>
      <c r="E92">
        <f t="shared" ca="1" si="5"/>
        <v>394.74119999999999</v>
      </c>
    </row>
    <row r="93" spans="1:5">
      <c r="A93">
        <f t="shared" si="6"/>
        <v>1992</v>
      </c>
      <c r="B93">
        <f t="shared" si="7"/>
        <v>1092</v>
      </c>
      <c r="C93">
        <f ca="1">SUM(INDIRECT("TLG65_MONTHLYFNF!G"&amp;6+B93):INDIRECT("TLG65_MONTHLYFNF!G"&amp;10+B93))</f>
        <v>673756</v>
      </c>
      <c r="D93">
        <f t="shared" ca="1" si="4"/>
        <v>673.75599999999997</v>
      </c>
      <c r="E93">
        <f t="shared" ca="1" si="5"/>
        <v>269.50240000000002</v>
      </c>
    </row>
    <row r="94" spans="1:5">
      <c r="A94">
        <f t="shared" si="6"/>
        <v>1993</v>
      </c>
      <c r="B94">
        <f t="shared" si="7"/>
        <v>1104</v>
      </c>
      <c r="C94">
        <f ca="1">SUM(INDIRECT("TLG65_MONTHLYFNF!G"&amp;6+B94):INDIRECT("TLG65_MONTHLYFNF!G"&amp;10+B94))</f>
        <v>1970022</v>
      </c>
      <c r="D94">
        <f t="shared" ca="1" si="4"/>
        <v>1970.0219999999999</v>
      </c>
      <c r="E94">
        <f t="shared" ca="1" si="5"/>
        <v>788.00880000000006</v>
      </c>
    </row>
    <row r="95" spans="1:5">
      <c r="A95">
        <f t="shared" si="6"/>
        <v>1994</v>
      </c>
      <c r="B95">
        <f t="shared" si="7"/>
        <v>1116</v>
      </c>
      <c r="C95">
        <f ca="1">SUM(INDIRECT("TLG65_MONTHLYFNF!G"&amp;6+B95):INDIRECT("TLG65_MONTHLYFNF!G"&amp;10+B95))</f>
        <v>750529</v>
      </c>
      <c r="D95">
        <f t="shared" ca="1" si="4"/>
        <v>750.529</v>
      </c>
      <c r="E95">
        <f t="shared" ca="1" si="5"/>
        <v>300.21160000000003</v>
      </c>
    </row>
    <row r="96" spans="1:5">
      <c r="A96">
        <f t="shared" si="6"/>
        <v>1995</v>
      </c>
      <c r="B96">
        <f t="shared" si="7"/>
        <v>1128</v>
      </c>
      <c r="C96">
        <f ca="1">SUM(INDIRECT("TLG65_MONTHLYFNF!G"&amp;6+B96):INDIRECT("TLG65_MONTHLYFNF!G"&amp;10+B96))</f>
        <v>2593602</v>
      </c>
      <c r="D96">
        <f t="shared" ca="1" si="4"/>
        <v>2593.6019999999999</v>
      </c>
      <c r="E96">
        <f t="shared" ca="1" si="5"/>
        <v>1037.4408000000001</v>
      </c>
    </row>
    <row r="97" spans="1:5">
      <c r="A97">
        <f t="shared" si="6"/>
        <v>1996</v>
      </c>
      <c r="B97">
        <f t="shared" si="7"/>
        <v>1140</v>
      </c>
      <c r="C97">
        <f ca="1">SUM(INDIRECT("TLG65_MONTHLYFNF!G"&amp;6+B97):INDIRECT("TLG65_MONTHLYFNF!G"&amp;10+B97))</f>
        <v>1926206</v>
      </c>
      <c r="D97">
        <f t="shared" ca="1" si="4"/>
        <v>1926.2059999999999</v>
      </c>
      <c r="E97">
        <f t="shared" ca="1" si="5"/>
        <v>770.48239999999998</v>
      </c>
    </row>
    <row r="98" spans="1:5">
      <c r="A98">
        <f t="shared" si="6"/>
        <v>1997</v>
      </c>
      <c r="B98">
        <f t="shared" si="7"/>
        <v>1152</v>
      </c>
      <c r="C98">
        <f ca="1">SUM(INDIRECT("TLG65_MONTHLYFNF!G"&amp;6+B98):INDIRECT("TLG65_MONTHLYFNF!G"&amp;10+B98))</f>
        <v>1555757</v>
      </c>
      <c r="D98">
        <f t="shared" ca="1" si="4"/>
        <v>1555.7570000000001</v>
      </c>
      <c r="E98">
        <f t="shared" ca="1" si="5"/>
        <v>622.30280000000005</v>
      </c>
    </row>
    <row r="99" spans="1:5">
      <c r="A99">
        <f t="shared" si="6"/>
        <v>1998</v>
      </c>
      <c r="B99">
        <f t="shared" si="7"/>
        <v>1164</v>
      </c>
      <c r="C99">
        <f ca="1">SUM(INDIRECT("TLG65_MONTHLYFNF!G"&amp;6+B99):INDIRECT("TLG65_MONTHLYFNF!G"&amp;10+B99))</f>
        <v>2394864</v>
      </c>
      <c r="D99">
        <f t="shared" ca="1" si="4"/>
        <v>2394.864</v>
      </c>
      <c r="E99">
        <f t="shared" ca="1" si="5"/>
        <v>957.94560000000001</v>
      </c>
    </row>
    <row r="100" spans="1:5">
      <c r="A100">
        <f t="shared" si="6"/>
        <v>1999</v>
      </c>
      <c r="B100">
        <f t="shared" si="7"/>
        <v>1176</v>
      </c>
      <c r="C100">
        <f ca="1">SUM(INDIRECT("TLG65_MONTHLYFNF!G"&amp;6+B100):INDIRECT("TLG65_MONTHLYFNF!G"&amp;10+B100))</f>
        <v>1689889</v>
      </c>
      <c r="D100">
        <f t="shared" ca="1" si="4"/>
        <v>1689.8889999999999</v>
      </c>
      <c r="E100">
        <f t="shared" ca="1" si="5"/>
        <v>675.9556</v>
      </c>
    </row>
    <row r="101" spans="1:5">
      <c r="A101">
        <f t="shared" si="6"/>
        <v>2000</v>
      </c>
      <c r="B101">
        <f t="shared" si="7"/>
        <v>1188</v>
      </c>
      <c r="C101">
        <f ca="1">SUM(INDIRECT("TLG65_MONTHLYFNF!G"&amp;6+B101):INDIRECT("TLG65_MONTHLYFNF!G"&amp;10+B101))</f>
        <v>1725069</v>
      </c>
      <c r="D101">
        <f t="shared" ca="1" si="4"/>
        <v>1725.069</v>
      </c>
      <c r="E101">
        <f t="shared" ca="1" si="5"/>
        <v>690.02760000000001</v>
      </c>
    </row>
    <row r="102" spans="1:5">
      <c r="A102">
        <f t="shared" si="6"/>
        <v>2001</v>
      </c>
      <c r="B102">
        <f t="shared" si="7"/>
        <v>1200</v>
      </c>
      <c r="C102">
        <f ca="1">SUM(INDIRECT("TLG65_MONTHLYFNF!G"&amp;6+B102):INDIRECT("TLG65_MONTHLYFNF!G"&amp;10+B102))</f>
        <v>929246</v>
      </c>
      <c r="D102">
        <f t="shared" ca="1" si="4"/>
        <v>929.24599999999998</v>
      </c>
      <c r="E102">
        <f t="shared" ca="1" si="5"/>
        <v>371.69839999999999</v>
      </c>
    </row>
    <row r="103" spans="1:5">
      <c r="A103">
        <f t="shared" si="6"/>
        <v>2002</v>
      </c>
      <c r="B103">
        <f t="shared" si="7"/>
        <v>1212</v>
      </c>
      <c r="C103">
        <f ca="1">SUM(INDIRECT("TLG65_MONTHLYFNF!G"&amp;6+B103):INDIRECT("TLG65_MONTHLYFNF!G"&amp;10+B103))</f>
        <v>1117257</v>
      </c>
      <c r="D103">
        <f t="shared" ca="1" si="4"/>
        <v>1117.2570000000001</v>
      </c>
      <c r="E103">
        <f t="shared" ca="1" si="5"/>
        <v>446.90280000000007</v>
      </c>
    </row>
    <row r="104" spans="1:5">
      <c r="A104">
        <f t="shared" si="6"/>
        <v>2003</v>
      </c>
      <c r="B104">
        <f t="shared" si="7"/>
        <v>1224</v>
      </c>
      <c r="C104">
        <f ca="1">SUM(INDIRECT("TLG65_MONTHLYFNF!G"&amp;6+B104):INDIRECT("TLG65_MONTHLYFNF!G"&amp;10+B104))</f>
        <v>1299628</v>
      </c>
      <c r="D104">
        <f t="shared" ca="1" si="4"/>
        <v>1299.6279999999999</v>
      </c>
      <c r="E104">
        <f t="shared" ca="1" si="5"/>
        <v>519.85119999999995</v>
      </c>
    </row>
    <row r="105" spans="1:5">
      <c r="A105">
        <f t="shared" si="6"/>
        <v>2004</v>
      </c>
      <c r="B105">
        <f t="shared" si="7"/>
        <v>1236</v>
      </c>
      <c r="C105">
        <f ca="1">SUM(INDIRECT("TLG65_MONTHLYFNF!G"&amp;6+B105):INDIRECT("TLG65_MONTHLYFNF!G"&amp;10+B105))</f>
        <v>1096802</v>
      </c>
      <c r="D105">
        <f t="shared" ca="1" si="4"/>
        <v>1096.8019999999999</v>
      </c>
      <c r="E105">
        <f t="shared" ca="1" si="5"/>
        <v>438.7208</v>
      </c>
    </row>
    <row r="106" spans="1:5">
      <c r="A106">
        <f t="shared" si="6"/>
        <v>2005</v>
      </c>
      <c r="B106">
        <f t="shared" si="7"/>
        <v>1248</v>
      </c>
      <c r="C106">
        <f ca="1">SUM(INDIRECT("TLG65_MONTHLYFNF!G"&amp;6+B106):INDIRECT("TLG65_MONTHLYFNF!G"&amp;10+B106))</f>
        <v>2247950</v>
      </c>
      <c r="D106">
        <f t="shared" ca="1" si="4"/>
        <v>2247.9499999999998</v>
      </c>
      <c r="E106">
        <f t="shared" ca="1" si="5"/>
        <v>899.18</v>
      </c>
    </row>
    <row r="107" spans="1:5">
      <c r="A107">
        <f t="shared" si="6"/>
        <v>2006</v>
      </c>
      <c r="B107">
        <f t="shared" si="7"/>
        <v>1260</v>
      </c>
      <c r="C107">
        <f ca="1">SUM(INDIRECT("TLG65_MONTHLYFNF!G"&amp;6+B107):INDIRECT("TLG65_MONTHLYFNF!G"&amp;10+B107))</f>
        <v>2525591</v>
      </c>
      <c r="D107">
        <f t="shared" ca="1" si="4"/>
        <v>2525.5909999999999</v>
      </c>
      <c r="E107">
        <f t="shared" ca="1" si="5"/>
        <v>1010.2364</v>
      </c>
    </row>
    <row r="108" spans="1:5">
      <c r="A108">
        <f t="shared" si="6"/>
        <v>2007</v>
      </c>
      <c r="B108">
        <f t="shared" si="7"/>
        <v>1272</v>
      </c>
      <c r="C108">
        <f ca="1">SUM(INDIRECT("TLG65_MONTHLYFNF!G"&amp;6+B108):INDIRECT("TLG65_MONTHLYFNF!G"&amp;10+B108))</f>
        <v>728780</v>
      </c>
      <c r="D108">
        <f t="shared" ca="1" si="4"/>
        <v>728.78</v>
      </c>
      <c r="E108">
        <f t="shared" ca="1" si="5"/>
        <v>291.512</v>
      </c>
    </row>
    <row r="109" spans="1:5">
      <c r="A109">
        <f t="shared" si="6"/>
        <v>2008</v>
      </c>
      <c r="B109">
        <f t="shared" si="7"/>
        <v>1284</v>
      </c>
      <c r="C109">
        <f ca="1">SUM(INDIRECT("TLG65_MONTHLYFNF!G"&amp;6+B109):INDIRECT("TLG65_MONTHLYFNF!G"&amp;10+B109))</f>
        <v>977276</v>
      </c>
      <c r="D109">
        <f t="shared" ca="1" si="4"/>
        <v>977.27599999999995</v>
      </c>
      <c r="E109">
        <f t="shared" ca="1" si="5"/>
        <v>390.91039999999998</v>
      </c>
    </row>
    <row r="110" spans="1:5">
      <c r="A110">
        <f t="shared" si="6"/>
        <v>2009</v>
      </c>
      <c r="B110">
        <f t="shared" si="7"/>
        <v>1296</v>
      </c>
      <c r="C110">
        <f ca="1">SUM(INDIRECT("TLG65_MONTHLYFNF!G"&amp;6+B110):INDIRECT("TLG65_MONTHLYFNF!G"&amp;10+B110))</f>
        <v>1394612</v>
      </c>
      <c r="D110">
        <f t="shared" ca="1" si="4"/>
        <v>1394.6120000000001</v>
      </c>
      <c r="E110">
        <f t="shared" ca="1" si="5"/>
        <v>557.84480000000008</v>
      </c>
    </row>
    <row r="111" spans="1:5">
      <c r="A111">
        <f t="shared" si="6"/>
        <v>2010</v>
      </c>
      <c r="B111">
        <f t="shared" si="7"/>
        <v>1308</v>
      </c>
      <c r="C111">
        <f ca="1">SUM(INDIRECT("TLG65_MONTHLYFNF!G"&amp;6+B111):INDIRECT("TLG65_MONTHLYFNF!G"&amp;10+B111))</f>
        <v>1529827</v>
      </c>
      <c r="D111">
        <f t="shared" ca="1" si="4"/>
        <v>1529.827</v>
      </c>
      <c r="E111">
        <f t="shared" ca="1" si="5"/>
        <v>611.93079999999998</v>
      </c>
    </row>
    <row r="112" spans="1:5">
      <c r="A112">
        <f t="shared" si="6"/>
        <v>2011</v>
      </c>
      <c r="B112">
        <f t="shared" si="7"/>
        <v>1320</v>
      </c>
      <c r="C112">
        <f ca="1">SUM(INDIRECT("TLG65_MONTHLYFNF!G"&amp;6+B112):INDIRECT("TLG65_MONTHLYFNF!G"&amp;10+B112))</f>
        <v>2279102</v>
      </c>
      <c r="D112">
        <f t="shared" ca="1" si="4"/>
        <v>2279.1019999999999</v>
      </c>
      <c r="E112">
        <f t="shared" ca="1" si="5"/>
        <v>911.64080000000001</v>
      </c>
    </row>
    <row r="113" spans="1:5">
      <c r="A113">
        <f t="shared" ref="A113:A123" si="8">A112+1</f>
        <v>2012</v>
      </c>
      <c r="B113">
        <f t="shared" ref="B113:B123" si="9">B112+12</f>
        <v>1332</v>
      </c>
      <c r="C113">
        <f ca="1">SUM(INDIRECT("TLG65_MONTHLYFNF!G"&amp;6+B113):INDIRECT("TLG65_MONTHLYFNF!G"&amp;10+B113))</f>
        <v>736683</v>
      </c>
      <c r="D113">
        <f t="shared" ca="1" si="4"/>
        <v>736.68299999999999</v>
      </c>
      <c r="E113">
        <f t="shared" ca="1" si="5"/>
        <v>294.67320000000001</v>
      </c>
    </row>
    <row r="114" spans="1:5">
      <c r="A114">
        <f t="shared" si="8"/>
        <v>2013</v>
      </c>
      <c r="B114">
        <f t="shared" si="9"/>
        <v>1344</v>
      </c>
      <c r="C114">
        <f ca="1">SUM(INDIRECT("TLG65_MONTHLYFNF!G"&amp;6+B114):INDIRECT("TLG65_MONTHLYFNF!G"&amp;10+B114))</f>
        <v>751859</v>
      </c>
      <c r="D114">
        <f t="shared" ca="1" si="4"/>
        <v>751.85900000000004</v>
      </c>
      <c r="E114">
        <f t="shared" ca="1" si="5"/>
        <v>300.74360000000001</v>
      </c>
    </row>
    <row r="115" spans="1:5">
      <c r="A115">
        <f t="shared" si="8"/>
        <v>2014</v>
      </c>
      <c r="B115">
        <f t="shared" si="9"/>
        <v>1356</v>
      </c>
      <c r="C115">
        <f ca="1">SUM(INDIRECT("TLG65_MONTHLYFNF!G"&amp;6+B115):INDIRECT("TLG65_MONTHLYFNF!G"&amp;10+B115))</f>
        <v>558280</v>
      </c>
      <c r="D115">
        <f t="shared" ca="1" si="4"/>
        <v>558.28</v>
      </c>
      <c r="E115">
        <f t="shared" ca="1" si="5"/>
        <v>223.31200000000001</v>
      </c>
    </row>
    <row r="116" spans="1:5">
      <c r="A116">
        <f t="shared" si="8"/>
        <v>2015</v>
      </c>
      <c r="B116">
        <f t="shared" si="9"/>
        <v>1368</v>
      </c>
      <c r="C116">
        <f ca="1">SUM(INDIRECT("TLG65_MONTHLYFNF!G"&amp;6+B116):INDIRECT("TLG65_MONTHLYFNF!G"&amp;10+B116))</f>
        <v>462109</v>
      </c>
      <c r="D116">
        <f t="shared" ca="1" si="4"/>
        <v>462.10899999999998</v>
      </c>
      <c r="E116">
        <f t="shared" ca="1" si="5"/>
        <v>184.84360000000001</v>
      </c>
    </row>
    <row r="117" spans="1:5">
      <c r="A117">
        <f t="shared" si="8"/>
        <v>2016</v>
      </c>
      <c r="B117">
        <f t="shared" si="9"/>
        <v>1380</v>
      </c>
      <c r="C117">
        <f ca="1">SUM(INDIRECT("TLG65_MONTHLYFNF!G"&amp;6+B117):INDIRECT("TLG65_MONTHLYFNF!G"&amp;10+B117))</f>
        <v>1461630</v>
      </c>
      <c r="D117">
        <f t="shared" ca="1" si="4"/>
        <v>1461.63</v>
      </c>
      <c r="E117">
        <f t="shared" ca="1" si="5"/>
        <v>584.65200000000004</v>
      </c>
    </row>
    <row r="118" spans="1:5">
      <c r="A118">
        <f t="shared" si="8"/>
        <v>2017</v>
      </c>
      <c r="B118">
        <f t="shared" si="9"/>
        <v>1392</v>
      </c>
      <c r="C118">
        <f ca="1">SUM(INDIRECT("TLG65_MONTHLYFNF!G"&amp;6+B118):INDIRECT("TLG65_MONTHLYFNF!G"&amp;10+B118))</f>
        <v>3330924</v>
      </c>
      <c r="D118">
        <f t="shared" ca="1" si="4"/>
        <v>3330.924</v>
      </c>
      <c r="E118">
        <f t="shared" ca="1" si="5"/>
        <v>1332.3696</v>
      </c>
    </row>
    <row r="119" spans="1:5">
      <c r="A119">
        <f t="shared" si="8"/>
        <v>2018</v>
      </c>
      <c r="B119">
        <f t="shared" si="9"/>
        <v>1404</v>
      </c>
      <c r="C119">
        <f ca="1">SUM(INDIRECT("TLG65_MONTHLYFNF!G"&amp;6+B119):INDIRECT("TLG65_MONTHLYFNF!G"&amp;10+B119))</f>
        <v>1368068</v>
      </c>
      <c r="D119">
        <f t="shared" ca="1" si="4"/>
        <v>1368.068</v>
      </c>
      <c r="E119">
        <f t="shared" ca="1" si="5"/>
        <v>547.22720000000004</v>
      </c>
    </row>
    <row r="120" spans="1:5">
      <c r="A120">
        <f t="shared" si="8"/>
        <v>2019</v>
      </c>
      <c r="B120">
        <f t="shared" si="9"/>
        <v>1416</v>
      </c>
      <c r="C120">
        <f ca="1">SUM(INDIRECT("TLG65_MONTHLYFNF!G"&amp;6+B120):INDIRECT("TLG65_MONTHLYFNF!G"&amp;10+B120))</f>
        <v>2454196</v>
      </c>
      <c r="D120">
        <f t="shared" ca="1" si="4"/>
        <v>2454.1959999999999</v>
      </c>
      <c r="E120">
        <f t="shared" ca="1" si="5"/>
        <v>981.67840000000001</v>
      </c>
    </row>
    <row r="121" spans="1:5">
      <c r="A121">
        <f t="shared" si="8"/>
        <v>2020</v>
      </c>
      <c r="B121">
        <f t="shared" si="9"/>
        <v>1428</v>
      </c>
      <c r="C121">
        <f ca="1">SUM(INDIRECT("TLG65_MONTHLYFNF!G"&amp;6+B121):INDIRECT("TLG65_MONTHLYFNF!G"&amp;10+B121))</f>
        <v>787446</v>
      </c>
      <c r="D121">
        <f t="shared" ca="1" si="4"/>
        <v>787.44600000000003</v>
      </c>
      <c r="E121">
        <f t="shared" ca="1" si="5"/>
        <v>314.97840000000002</v>
      </c>
    </row>
    <row r="122" spans="1:5">
      <c r="A122">
        <f t="shared" si="8"/>
        <v>2021</v>
      </c>
      <c r="B122">
        <f t="shared" si="9"/>
        <v>1440</v>
      </c>
      <c r="C122">
        <f ca="1">SUM(INDIRECT("TLG65_MONTHLYFNF!G"&amp;6+B122):INDIRECT("TLG65_MONTHLYFNF!G"&amp;10+B122))</f>
        <v>545620</v>
      </c>
      <c r="D122">
        <f t="shared" ca="1" si="4"/>
        <v>545.62</v>
      </c>
      <c r="E122">
        <f t="shared" ca="1" si="5"/>
        <v>218.24800000000002</v>
      </c>
    </row>
    <row r="123" spans="1:5">
      <c r="A123">
        <f t="shared" si="8"/>
        <v>2022</v>
      </c>
      <c r="B123">
        <f t="shared" si="9"/>
        <v>1452</v>
      </c>
      <c r="C123">
        <f ca="1">SUM(INDIRECT("TLG65_MONTHLYFNF!G"&amp;6+B123):INDIRECT("TLG65_MONTHLYFNF!G"&amp;10+B123))</f>
        <v>690776</v>
      </c>
      <c r="D123">
        <f t="shared" ca="1" si="4"/>
        <v>690.77599999999995</v>
      </c>
      <c r="E123">
        <f t="shared" ca="1" si="5"/>
        <v>276.31040000000002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3"/>
  <sheetViews>
    <sheetView tabSelected="1" zoomScale="103" workbookViewId="0">
      <selection activeCell="B2" sqref="B2"/>
    </sheetView>
  </sheetViews>
  <sheetFormatPr baseColWidth="10" defaultRowHeight="16"/>
  <sheetData>
    <row r="1" spans="1:17">
      <c r="A1" s="4" t="s">
        <v>2578</v>
      </c>
      <c r="B1" s="4"/>
      <c r="C1" s="4" t="s">
        <v>2579</v>
      </c>
      <c r="D1" s="4" t="s">
        <v>2580</v>
      </c>
      <c r="E1" s="4" t="s">
        <v>2581</v>
      </c>
      <c r="F1" s="4" t="s">
        <v>2582</v>
      </c>
      <c r="G1" s="4" t="s">
        <v>2583</v>
      </c>
      <c r="K1">
        <v>1987</v>
      </c>
      <c r="L1">
        <v>1032</v>
      </c>
      <c r="M1">
        <v>588509</v>
      </c>
      <c r="N1">
        <v>588.50900000000001</v>
      </c>
      <c r="O1">
        <v>235.40360000000001</v>
      </c>
      <c r="P1">
        <v>3</v>
      </c>
      <c r="Q1" s="5">
        <v>8.8235294117647065E-2</v>
      </c>
    </row>
    <row r="2" spans="1:17">
      <c r="A2">
        <v>1901</v>
      </c>
      <c r="B2">
        <v>0</v>
      </c>
      <c r="C2">
        <v>2060000</v>
      </c>
      <c r="D2">
        <v>2060</v>
      </c>
      <c r="E2">
        <v>824</v>
      </c>
      <c r="F2">
        <v>101</v>
      </c>
      <c r="G2" s="5">
        <v>0.82786885245901642</v>
      </c>
      <c r="K2">
        <v>1988</v>
      </c>
      <c r="L2">
        <v>1044</v>
      </c>
      <c r="M2">
        <v>632490</v>
      </c>
      <c r="N2">
        <v>632.49</v>
      </c>
      <c r="O2">
        <v>252.99600000000001</v>
      </c>
      <c r="P2">
        <v>4</v>
      </c>
      <c r="Q2" s="5">
        <v>0.11764705882352941</v>
      </c>
    </row>
    <row r="3" spans="1:17">
      <c r="A3">
        <v>1902</v>
      </c>
      <c r="B3">
        <v>12</v>
      </c>
      <c r="C3">
        <v>1314000</v>
      </c>
      <c r="D3">
        <v>1314</v>
      </c>
      <c r="E3">
        <v>525.6</v>
      </c>
      <c r="F3">
        <v>59</v>
      </c>
      <c r="G3" s="5">
        <v>0.48360655737704916</v>
      </c>
      <c r="K3">
        <v>1989</v>
      </c>
      <c r="L3">
        <v>1056</v>
      </c>
      <c r="M3">
        <v>1184126</v>
      </c>
      <c r="N3">
        <v>1184.126</v>
      </c>
      <c r="O3">
        <v>473.65039999999999</v>
      </c>
      <c r="P3">
        <v>17</v>
      </c>
      <c r="Q3" s="5">
        <v>0.5</v>
      </c>
    </row>
    <row r="4" spans="1:17">
      <c r="A4">
        <v>1903</v>
      </c>
      <c r="B4">
        <v>24</v>
      </c>
      <c r="C4">
        <v>1547700</v>
      </c>
      <c r="D4">
        <v>1547.7</v>
      </c>
      <c r="E4">
        <v>619.08000000000004</v>
      </c>
      <c r="F4">
        <v>71</v>
      </c>
      <c r="G4" s="5">
        <v>0.58196721311475408</v>
      </c>
      <c r="K4">
        <v>1990</v>
      </c>
      <c r="L4">
        <v>1068</v>
      </c>
      <c r="M4">
        <v>684665</v>
      </c>
      <c r="N4">
        <v>684.66499999999996</v>
      </c>
      <c r="O4">
        <v>273.86599999999999</v>
      </c>
      <c r="P4">
        <v>6</v>
      </c>
      <c r="Q4" s="5">
        <v>0.17647058823529413</v>
      </c>
    </row>
    <row r="5" spans="1:17">
      <c r="A5">
        <v>1904</v>
      </c>
      <c r="B5">
        <v>36</v>
      </c>
      <c r="C5">
        <v>2074000</v>
      </c>
      <c r="D5">
        <v>2074</v>
      </c>
      <c r="E5">
        <v>829.6</v>
      </c>
      <c r="F5">
        <v>102</v>
      </c>
      <c r="G5" s="5">
        <v>0.83606557377049184</v>
      </c>
      <c r="K5">
        <v>1991</v>
      </c>
      <c r="L5">
        <v>1080</v>
      </c>
      <c r="M5">
        <v>986853</v>
      </c>
      <c r="N5">
        <v>986.85299999999995</v>
      </c>
      <c r="O5">
        <v>394.74119999999999</v>
      </c>
      <c r="P5">
        <v>14</v>
      </c>
      <c r="Q5" s="5">
        <v>0.41176470588235292</v>
      </c>
    </row>
    <row r="6" spans="1:17">
      <c r="A6">
        <v>1905</v>
      </c>
      <c r="B6">
        <v>48</v>
      </c>
      <c r="C6">
        <v>1212000</v>
      </c>
      <c r="D6">
        <v>1212</v>
      </c>
      <c r="E6">
        <v>484.8</v>
      </c>
      <c r="F6">
        <v>51</v>
      </c>
      <c r="G6" s="5">
        <v>0.41803278688524592</v>
      </c>
      <c r="K6">
        <v>1992</v>
      </c>
      <c r="L6">
        <v>1092</v>
      </c>
      <c r="M6">
        <v>673756</v>
      </c>
      <c r="N6">
        <v>673.75599999999997</v>
      </c>
      <c r="O6">
        <v>269.50240000000002</v>
      </c>
      <c r="P6">
        <v>5</v>
      </c>
      <c r="Q6" s="5">
        <v>0.14705882352941177</v>
      </c>
    </row>
    <row r="7" spans="1:17">
      <c r="A7">
        <v>1906</v>
      </c>
      <c r="B7">
        <v>60</v>
      </c>
      <c r="C7">
        <v>2524000</v>
      </c>
      <c r="D7">
        <v>2524</v>
      </c>
      <c r="E7">
        <v>1009.6</v>
      </c>
      <c r="F7">
        <v>114</v>
      </c>
      <c r="G7" s="5">
        <v>0.93442622950819676</v>
      </c>
      <c r="K7">
        <v>1993</v>
      </c>
      <c r="L7">
        <v>1104</v>
      </c>
      <c r="M7">
        <v>1970022</v>
      </c>
      <c r="N7">
        <v>1970.0219999999999</v>
      </c>
      <c r="O7">
        <v>788.00880000000006</v>
      </c>
      <c r="P7">
        <v>27</v>
      </c>
      <c r="Q7" s="5">
        <v>0.79411764705882348</v>
      </c>
    </row>
    <row r="8" spans="1:17">
      <c r="A8">
        <v>1907</v>
      </c>
      <c r="B8">
        <v>72</v>
      </c>
      <c r="C8">
        <v>2818000</v>
      </c>
      <c r="D8">
        <v>2818</v>
      </c>
      <c r="E8">
        <v>1127.2</v>
      </c>
      <c r="F8">
        <v>120</v>
      </c>
      <c r="G8" s="5">
        <v>0.98360655737704916</v>
      </c>
      <c r="K8">
        <v>1994</v>
      </c>
      <c r="L8">
        <v>1116</v>
      </c>
      <c r="M8">
        <v>750529</v>
      </c>
      <c r="N8">
        <v>750.529</v>
      </c>
      <c r="O8">
        <v>300.21160000000003</v>
      </c>
      <c r="P8">
        <v>9</v>
      </c>
      <c r="Q8" s="5">
        <v>0.26470588235294118</v>
      </c>
    </row>
    <row r="9" spans="1:17">
      <c r="A9">
        <v>1908</v>
      </c>
      <c r="B9">
        <v>84</v>
      </c>
      <c r="C9">
        <v>799000</v>
      </c>
      <c r="D9">
        <v>799</v>
      </c>
      <c r="E9">
        <v>319.60000000000002</v>
      </c>
      <c r="F9">
        <v>21</v>
      </c>
      <c r="G9" s="5">
        <v>0.1721311475409836</v>
      </c>
      <c r="K9">
        <v>1995</v>
      </c>
      <c r="L9">
        <v>1128</v>
      </c>
      <c r="M9">
        <v>2593602</v>
      </c>
      <c r="N9">
        <v>2593.6019999999999</v>
      </c>
      <c r="O9">
        <v>1037.4408000000001</v>
      </c>
      <c r="P9">
        <v>33</v>
      </c>
      <c r="Q9" s="5">
        <v>0.97058823529411764</v>
      </c>
    </row>
    <row r="10" spans="1:17">
      <c r="A10">
        <v>1909</v>
      </c>
      <c r="B10">
        <v>96</v>
      </c>
      <c r="C10">
        <v>1962000</v>
      </c>
      <c r="D10">
        <v>1962</v>
      </c>
      <c r="E10">
        <v>784.80000000000007</v>
      </c>
      <c r="F10">
        <v>97</v>
      </c>
      <c r="G10" s="5">
        <v>0.79508196721311475</v>
      </c>
      <c r="K10">
        <v>1996</v>
      </c>
      <c r="L10">
        <v>1140</v>
      </c>
      <c r="M10">
        <v>1926206</v>
      </c>
      <c r="N10">
        <v>1926.2059999999999</v>
      </c>
      <c r="O10">
        <v>770.48239999999998</v>
      </c>
      <c r="P10">
        <v>26</v>
      </c>
      <c r="Q10" s="5">
        <v>0.76470588235294112</v>
      </c>
    </row>
    <row r="11" spans="1:17">
      <c r="A11">
        <v>1910</v>
      </c>
      <c r="B11">
        <v>108</v>
      </c>
      <c r="C11">
        <v>1435000</v>
      </c>
      <c r="D11">
        <v>1435</v>
      </c>
      <c r="E11">
        <v>574</v>
      </c>
      <c r="F11">
        <v>66</v>
      </c>
      <c r="G11" s="5">
        <v>0.54098360655737709</v>
      </c>
      <c r="K11">
        <v>1997</v>
      </c>
      <c r="L11">
        <v>1152</v>
      </c>
      <c r="M11">
        <v>1555757</v>
      </c>
      <c r="N11">
        <v>1555.7570000000001</v>
      </c>
      <c r="O11">
        <v>622.30280000000005</v>
      </c>
      <c r="P11">
        <v>23</v>
      </c>
      <c r="Q11" s="5">
        <v>0.67647058823529416</v>
      </c>
    </row>
    <row r="12" spans="1:17">
      <c r="A12">
        <v>1911</v>
      </c>
      <c r="B12">
        <v>120</v>
      </c>
      <c r="C12">
        <v>2442000</v>
      </c>
      <c r="D12">
        <v>2442</v>
      </c>
      <c r="E12">
        <v>976.80000000000007</v>
      </c>
      <c r="F12">
        <v>111</v>
      </c>
      <c r="G12" s="5">
        <v>0.9098360655737705</v>
      </c>
      <c r="K12">
        <v>1998</v>
      </c>
      <c r="L12">
        <v>1164</v>
      </c>
      <c r="M12">
        <v>2394864</v>
      </c>
      <c r="N12">
        <v>2394.864</v>
      </c>
      <c r="O12">
        <v>957.94560000000001</v>
      </c>
      <c r="P12">
        <v>30</v>
      </c>
      <c r="Q12" s="5">
        <v>0.88235294117647056</v>
      </c>
    </row>
    <row r="13" spans="1:17">
      <c r="A13">
        <v>1912</v>
      </c>
      <c r="B13">
        <v>132</v>
      </c>
      <c r="C13">
        <v>906300</v>
      </c>
      <c r="D13">
        <v>906.3</v>
      </c>
      <c r="E13">
        <v>362.52</v>
      </c>
      <c r="F13">
        <v>28</v>
      </c>
      <c r="G13" s="5">
        <v>0.22950819672131148</v>
      </c>
      <c r="K13">
        <v>1999</v>
      </c>
      <c r="L13">
        <v>1176</v>
      </c>
      <c r="M13">
        <v>1689889</v>
      </c>
      <c r="N13">
        <v>1689.8889999999999</v>
      </c>
      <c r="O13">
        <v>675.9556</v>
      </c>
      <c r="P13">
        <v>24</v>
      </c>
      <c r="Q13" s="5">
        <v>0.70588235294117652</v>
      </c>
    </row>
    <row r="14" spans="1:17">
      <c r="A14">
        <v>1913</v>
      </c>
      <c r="B14">
        <v>144</v>
      </c>
      <c r="C14">
        <v>888200</v>
      </c>
      <c r="D14">
        <v>888.2</v>
      </c>
      <c r="E14">
        <v>355.28000000000003</v>
      </c>
      <c r="F14">
        <v>26</v>
      </c>
      <c r="G14" s="5">
        <v>0.21311475409836064</v>
      </c>
      <c r="K14">
        <v>2000</v>
      </c>
      <c r="L14">
        <v>1188</v>
      </c>
      <c r="M14">
        <v>1725069</v>
      </c>
      <c r="N14">
        <v>1725.069</v>
      </c>
      <c r="O14">
        <v>690.02760000000001</v>
      </c>
      <c r="P14">
        <v>25</v>
      </c>
      <c r="Q14" s="5">
        <v>0.73529411764705888</v>
      </c>
    </row>
    <row r="15" spans="1:17">
      <c r="A15">
        <v>1914</v>
      </c>
      <c r="B15">
        <v>156</v>
      </c>
      <c r="C15">
        <v>1852000</v>
      </c>
      <c r="D15">
        <v>1852</v>
      </c>
      <c r="E15">
        <v>740.80000000000007</v>
      </c>
      <c r="F15">
        <v>93</v>
      </c>
      <c r="G15" s="5">
        <v>0.76229508196721307</v>
      </c>
      <c r="K15">
        <v>2001</v>
      </c>
      <c r="L15">
        <v>1200</v>
      </c>
      <c r="M15">
        <v>929246</v>
      </c>
      <c r="N15">
        <v>929.24599999999998</v>
      </c>
      <c r="O15">
        <v>371.69839999999999</v>
      </c>
      <c r="P15">
        <v>12</v>
      </c>
      <c r="Q15" s="5">
        <v>0.35294117647058826</v>
      </c>
    </row>
    <row r="16" spans="1:17">
      <c r="A16">
        <v>1915</v>
      </c>
      <c r="B16">
        <v>168</v>
      </c>
      <c r="C16">
        <v>1733000</v>
      </c>
      <c r="D16">
        <v>1733</v>
      </c>
      <c r="E16">
        <v>693.2</v>
      </c>
      <c r="F16">
        <v>86</v>
      </c>
      <c r="G16" s="5">
        <v>0.70491803278688525</v>
      </c>
      <c r="K16">
        <v>2002</v>
      </c>
      <c r="L16">
        <v>1212</v>
      </c>
      <c r="M16">
        <v>1117257</v>
      </c>
      <c r="N16">
        <v>1117.2570000000001</v>
      </c>
      <c r="O16">
        <v>446.90280000000007</v>
      </c>
      <c r="P16">
        <v>16</v>
      </c>
      <c r="Q16" s="5">
        <v>0.47058823529411764</v>
      </c>
    </row>
    <row r="17" spans="1:17">
      <c r="A17">
        <v>1916</v>
      </c>
      <c r="B17">
        <v>180</v>
      </c>
      <c r="C17">
        <v>2013000</v>
      </c>
      <c r="D17">
        <v>2013</v>
      </c>
      <c r="E17">
        <v>805.2</v>
      </c>
      <c r="F17">
        <v>100</v>
      </c>
      <c r="G17" s="5">
        <v>0.81967213114754101</v>
      </c>
      <c r="K17">
        <v>2003</v>
      </c>
      <c r="L17">
        <v>1224</v>
      </c>
      <c r="M17">
        <v>1299628</v>
      </c>
      <c r="N17">
        <v>1299.6279999999999</v>
      </c>
      <c r="O17">
        <v>519.85119999999995</v>
      </c>
      <c r="P17">
        <v>18</v>
      </c>
      <c r="Q17" s="5">
        <v>0.52941176470588236</v>
      </c>
    </row>
    <row r="18" spans="1:17">
      <c r="A18">
        <v>1917</v>
      </c>
      <c r="B18">
        <v>192</v>
      </c>
      <c r="C18">
        <v>1761000</v>
      </c>
      <c r="D18">
        <v>1761</v>
      </c>
      <c r="E18">
        <v>704.40000000000009</v>
      </c>
      <c r="F18">
        <v>89</v>
      </c>
      <c r="G18" s="5">
        <v>0.72950819672131151</v>
      </c>
      <c r="K18">
        <v>2004</v>
      </c>
      <c r="L18">
        <v>1236</v>
      </c>
      <c r="M18">
        <v>1096802</v>
      </c>
      <c r="N18">
        <v>1096.8019999999999</v>
      </c>
      <c r="O18">
        <v>438.7208</v>
      </c>
      <c r="P18">
        <v>15</v>
      </c>
      <c r="Q18" s="5">
        <v>0.44117647058823528</v>
      </c>
    </row>
    <row r="19" spans="1:17">
      <c r="A19">
        <v>1918</v>
      </c>
      <c r="B19">
        <v>204</v>
      </c>
      <c r="C19">
        <v>1364580</v>
      </c>
      <c r="D19">
        <v>1364.58</v>
      </c>
      <c r="E19">
        <v>545.83199999999999</v>
      </c>
      <c r="F19">
        <v>61</v>
      </c>
      <c r="G19" s="5">
        <v>0.5</v>
      </c>
      <c r="K19">
        <v>2005</v>
      </c>
      <c r="L19">
        <v>1248</v>
      </c>
      <c r="M19">
        <v>2247950</v>
      </c>
      <c r="N19">
        <v>2247.9499999999998</v>
      </c>
      <c r="O19">
        <v>899.18</v>
      </c>
      <c r="P19">
        <v>28</v>
      </c>
      <c r="Q19" s="5">
        <v>0.82352941176470584</v>
      </c>
    </row>
    <row r="20" spans="1:17">
      <c r="A20">
        <v>1919</v>
      </c>
      <c r="B20">
        <v>216</v>
      </c>
      <c r="C20">
        <v>1171630</v>
      </c>
      <c r="D20">
        <v>1171.6300000000001</v>
      </c>
      <c r="E20">
        <v>468.65200000000004</v>
      </c>
      <c r="F20">
        <v>46</v>
      </c>
      <c r="G20" s="5">
        <v>0.37704918032786883</v>
      </c>
      <c r="K20">
        <v>2006</v>
      </c>
      <c r="L20">
        <v>1260</v>
      </c>
      <c r="M20">
        <v>2525591</v>
      </c>
      <c r="N20">
        <v>2525.5909999999999</v>
      </c>
      <c r="O20">
        <v>1010.2364</v>
      </c>
      <c r="P20">
        <v>32</v>
      </c>
      <c r="Q20" s="5">
        <v>0.94117647058823528</v>
      </c>
    </row>
    <row r="21" spans="1:17">
      <c r="A21">
        <v>1920</v>
      </c>
      <c r="B21">
        <v>228</v>
      </c>
      <c r="C21">
        <v>1215350</v>
      </c>
      <c r="D21">
        <v>1215.3499999999999</v>
      </c>
      <c r="E21">
        <v>486.14</v>
      </c>
      <c r="F21">
        <v>52</v>
      </c>
      <c r="G21" s="5">
        <v>0.42622950819672129</v>
      </c>
      <c r="K21">
        <v>2007</v>
      </c>
      <c r="L21">
        <v>1272</v>
      </c>
      <c r="M21">
        <v>728780</v>
      </c>
      <c r="N21">
        <v>728.78</v>
      </c>
      <c r="O21">
        <v>291.512</v>
      </c>
      <c r="P21">
        <v>7</v>
      </c>
      <c r="Q21" s="5">
        <v>0.20588235294117646</v>
      </c>
    </row>
    <row r="22" spans="1:17">
      <c r="A22">
        <v>1921</v>
      </c>
      <c r="B22">
        <v>240</v>
      </c>
      <c r="C22">
        <v>1542570</v>
      </c>
      <c r="D22">
        <v>1542.57</v>
      </c>
      <c r="E22">
        <v>617.02800000000002</v>
      </c>
      <c r="F22">
        <v>70</v>
      </c>
      <c r="G22" s="5">
        <v>0.57377049180327866</v>
      </c>
      <c r="K22">
        <v>2008</v>
      </c>
      <c r="L22">
        <v>1284</v>
      </c>
      <c r="M22">
        <v>977276</v>
      </c>
      <c r="N22">
        <v>977.27599999999995</v>
      </c>
      <c r="O22">
        <v>390.91039999999998</v>
      </c>
      <c r="P22">
        <v>13</v>
      </c>
      <c r="Q22" s="5">
        <v>0.38235294117647056</v>
      </c>
    </row>
    <row r="23" spans="1:17">
      <c r="A23">
        <v>1922</v>
      </c>
      <c r="B23">
        <v>252</v>
      </c>
      <c r="C23">
        <v>2100550</v>
      </c>
      <c r="D23">
        <v>2100.5500000000002</v>
      </c>
      <c r="E23">
        <v>840.22000000000014</v>
      </c>
      <c r="F23">
        <v>103</v>
      </c>
      <c r="G23" s="5">
        <v>0.84426229508196726</v>
      </c>
      <c r="K23">
        <v>2009</v>
      </c>
      <c r="L23">
        <v>1296</v>
      </c>
      <c r="M23">
        <v>1394612</v>
      </c>
      <c r="N23">
        <v>1394.6120000000001</v>
      </c>
      <c r="O23">
        <v>557.84480000000008</v>
      </c>
      <c r="P23">
        <v>20</v>
      </c>
      <c r="Q23" s="5">
        <v>0.58823529411764708</v>
      </c>
    </row>
    <row r="24" spans="1:17">
      <c r="A24">
        <v>1923</v>
      </c>
      <c r="B24">
        <v>264</v>
      </c>
      <c r="C24">
        <v>1298800</v>
      </c>
      <c r="D24">
        <v>1298.8</v>
      </c>
      <c r="E24">
        <v>519.52</v>
      </c>
      <c r="F24">
        <v>57</v>
      </c>
      <c r="G24" s="5">
        <v>0.46721311475409838</v>
      </c>
      <c r="K24">
        <v>2010</v>
      </c>
      <c r="L24">
        <v>1308</v>
      </c>
      <c r="M24">
        <v>1529827</v>
      </c>
      <c r="N24">
        <v>1529.827</v>
      </c>
      <c r="O24">
        <v>611.93079999999998</v>
      </c>
      <c r="P24">
        <v>22</v>
      </c>
      <c r="Q24" s="5">
        <v>0.6470588235294118</v>
      </c>
    </row>
    <row r="25" spans="1:17">
      <c r="A25">
        <v>1924</v>
      </c>
      <c r="B25">
        <v>276</v>
      </c>
      <c r="C25">
        <v>444590</v>
      </c>
      <c r="D25">
        <v>444.59</v>
      </c>
      <c r="E25">
        <v>177.83600000000001</v>
      </c>
      <c r="F25">
        <v>2</v>
      </c>
      <c r="G25" s="5">
        <v>1.6393442622950821E-2</v>
      </c>
      <c r="K25">
        <v>2011</v>
      </c>
      <c r="L25">
        <v>1320</v>
      </c>
      <c r="M25">
        <v>2279102</v>
      </c>
      <c r="N25">
        <v>2279.1019999999999</v>
      </c>
      <c r="O25">
        <v>911.64080000000001</v>
      </c>
      <c r="P25">
        <v>29</v>
      </c>
      <c r="Q25" s="5">
        <v>0.8529411764705882</v>
      </c>
    </row>
    <row r="26" spans="1:17">
      <c r="A26">
        <v>1925</v>
      </c>
      <c r="B26">
        <v>288</v>
      </c>
      <c r="C26">
        <v>1633880</v>
      </c>
      <c r="D26">
        <v>1633.88</v>
      </c>
      <c r="E26">
        <v>653.55200000000013</v>
      </c>
      <c r="F26">
        <v>76</v>
      </c>
      <c r="G26" s="5">
        <v>0.62295081967213117</v>
      </c>
      <c r="K26">
        <v>2012</v>
      </c>
      <c r="L26">
        <v>1332</v>
      </c>
      <c r="M26">
        <v>736683</v>
      </c>
      <c r="N26">
        <v>736.68299999999999</v>
      </c>
      <c r="O26">
        <v>294.67320000000001</v>
      </c>
      <c r="P26">
        <v>8</v>
      </c>
      <c r="Q26" s="5">
        <v>0.23529411764705882</v>
      </c>
    </row>
    <row r="27" spans="1:17">
      <c r="A27">
        <v>1926</v>
      </c>
      <c r="B27">
        <v>300</v>
      </c>
      <c r="C27">
        <v>1003330</v>
      </c>
      <c r="D27">
        <v>1003.33</v>
      </c>
      <c r="E27">
        <v>401.33200000000005</v>
      </c>
      <c r="F27">
        <v>39</v>
      </c>
      <c r="G27" s="5">
        <v>0.31967213114754101</v>
      </c>
      <c r="K27">
        <v>2013</v>
      </c>
      <c r="L27">
        <v>1344</v>
      </c>
      <c r="M27">
        <v>751859</v>
      </c>
      <c r="N27">
        <v>751.85900000000004</v>
      </c>
      <c r="O27">
        <v>300.74360000000001</v>
      </c>
      <c r="P27">
        <v>10</v>
      </c>
      <c r="Q27" s="5">
        <v>0.29411764705882354</v>
      </c>
    </row>
    <row r="28" spans="1:17">
      <c r="A28">
        <v>1927</v>
      </c>
      <c r="B28">
        <v>312</v>
      </c>
      <c r="C28">
        <v>1664620</v>
      </c>
      <c r="D28">
        <v>1664.62</v>
      </c>
      <c r="E28">
        <v>665.84799999999996</v>
      </c>
      <c r="F28">
        <v>77</v>
      </c>
      <c r="G28" s="5">
        <v>0.63114754098360659</v>
      </c>
      <c r="K28">
        <v>2014</v>
      </c>
      <c r="L28">
        <v>1356</v>
      </c>
      <c r="M28">
        <v>558280</v>
      </c>
      <c r="N28">
        <v>558.28</v>
      </c>
      <c r="O28">
        <v>223.31200000000001</v>
      </c>
      <c r="P28">
        <v>2</v>
      </c>
      <c r="Q28" s="5">
        <v>5.8823529411764705E-2</v>
      </c>
    </row>
    <row r="29" spans="1:17">
      <c r="A29">
        <v>1928</v>
      </c>
      <c r="B29">
        <v>324</v>
      </c>
      <c r="C29">
        <v>1289820</v>
      </c>
      <c r="D29">
        <v>1289.82</v>
      </c>
      <c r="E29">
        <v>515.928</v>
      </c>
      <c r="F29">
        <v>55</v>
      </c>
      <c r="G29" s="5">
        <v>0.45081967213114754</v>
      </c>
      <c r="K29">
        <v>2015</v>
      </c>
      <c r="L29">
        <v>1368</v>
      </c>
      <c r="M29">
        <v>462109</v>
      </c>
      <c r="N29">
        <v>462.10899999999998</v>
      </c>
      <c r="O29">
        <v>184.84360000000001</v>
      </c>
      <c r="P29">
        <v>1</v>
      </c>
      <c r="Q29" s="5">
        <v>2.9411764705882353E-2</v>
      </c>
    </row>
    <row r="30" spans="1:17">
      <c r="A30">
        <v>1929</v>
      </c>
      <c r="B30">
        <v>336</v>
      </c>
      <c r="C30">
        <v>890760</v>
      </c>
      <c r="D30">
        <v>890.76</v>
      </c>
      <c r="E30">
        <v>356.30400000000003</v>
      </c>
      <c r="F30">
        <v>27</v>
      </c>
      <c r="G30" s="5">
        <v>0.22131147540983606</v>
      </c>
      <c r="K30">
        <v>2016</v>
      </c>
      <c r="L30">
        <v>1380</v>
      </c>
      <c r="M30">
        <v>1461630</v>
      </c>
      <c r="N30">
        <v>1461.63</v>
      </c>
      <c r="O30">
        <v>584.65200000000004</v>
      </c>
      <c r="P30">
        <v>21</v>
      </c>
      <c r="Q30" s="5">
        <v>0.61764705882352944</v>
      </c>
    </row>
    <row r="31" spans="1:17">
      <c r="A31">
        <v>1930</v>
      </c>
      <c r="B31">
        <v>348</v>
      </c>
      <c r="C31">
        <v>1023580</v>
      </c>
      <c r="D31">
        <v>1023.58</v>
      </c>
      <c r="E31">
        <v>409.43200000000002</v>
      </c>
      <c r="F31">
        <v>40</v>
      </c>
      <c r="G31" s="5">
        <v>0.32786885245901637</v>
      </c>
      <c r="K31">
        <v>2017</v>
      </c>
      <c r="L31">
        <v>1392</v>
      </c>
      <c r="M31">
        <v>3330924</v>
      </c>
      <c r="N31">
        <v>3330.924</v>
      </c>
      <c r="O31">
        <v>1332.3696</v>
      </c>
      <c r="P31">
        <v>34</v>
      </c>
      <c r="Q31" s="5">
        <v>1</v>
      </c>
    </row>
    <row r="32" spans="1:17">
      <c r="A32">
        <v>1931</v>
      </c>
      <c r="B32">
        <v>360</v>
      </c>
      <c r="C32">
        <v>523120</v>
      </c>
      <c r="D32">
        <v>523.12</v>
      </c>
      <c r="E32">
        <v>209.24800000000002</v>
      </c>
      <c r="F32">
        <v>5</v>
      </c>
      <c r="G32" s="5">
        <v>4.0983606557377046E-2</v>
      </c>
      <c r="K32">
        <v>2018</v>
      </c>
      <c r="L32">
        <v>1404</v>
      </c>
      <c r="M32">
        <v>1368068</v>
      </c>
      <c r="N32">
        <v>1368.068</v>
      </c>
      <c r="O32">
        <v>547.22720000000004</v>
      </c>
      <c r="P32">
        <v>19</v>
      </c>
      <c r="Q32" s="5">
        <v>0.55882352941176472</v>
      </c>
    </row>
    <row r="33" spans="1:17">
      <c r="A33">
        <v>1932</v>
      </c>
      <c r="B33">
        <v>372</v>
      </c>
      <c r="C33">
        <v>1713650</v>
      </c>
      <c r="D33">
        <v>1713.65</v>
      </c>
      <c r="E33">
        <v>685.46</v>
      </c>
      <c r="F33">
        <v>83</v>
      </c>
      <c r="G33" s="5">
        <v>0.68032786885245899</v>
      </c>
      <c r="K33">
        <v>2019</v>
      </c>
      <c r="L33">
        <v>1416</v>
      </c>
      <c r="M33">
        <v>2454196</v>
      </c>
      <c r="N33">
        <v>2454.1959999999999</v>
      </c>
      <c r="O33">
        <v>981.67840000000001</v>
      </c>
      <c r="P33">
        <v>31</v>
      </c>
      <c r="Q33" s="5">
        <v>0.91176470588235292</v>
      </c>
    </row>
    <row r="34" spans="1:17">
      <c r="A34">
        <v>1933</v>
      </c>
      <c r="B34">
        <v>384</v>
      </c>
      <c r="C34">
        <v>961980</v>
      </c>
      <c r="D34">
        <v>961.98</v>
      </c>
      <c r="E34">
        <v>384.79200000000003</v>
      </c>
      <c r="F34">
        <v>33</v>
      </c>
      <c r="G34" s="5">
        <v>0.27049180327868855</v>
      </c>
      <c r="K34">
        <v>2020</v>
      </c>
      <c r="L34">
        <v>1428</v>
      </c>
      <c r="M34">
        <v>787446</v>
      </c>
      <c r="N34">
        <v>787.44600000000003</v>
      </c>
      <c r="O34">
        <v>314.97840000000002</v>
      </c>
      <c r="P34">
        <v>11</v>
      </c>
      <c r="Q34" s="5">
        <v>0.3235294117647059</v>
      </c>
    </row>
    <row r="35" spans="1:17">
      <c r="A35">
        <v>1934</v>
      </c>
      <c r="B35">
        <v>396</v>
      </c>
      <c r="C35">
        <v>670750</v>
      </c>
      <c r="D35">
        <v>670.75</v>
      </c>
      <c r="E35">
        <v>268.3</v>
      </c>
      <c r="F35">
        <v>11</v>
      </c>
      <c r="G35" s="5">
        <v>9.0163934426229511E-2</v>
      </c>
    </row>
    <row r="36" spans="1:17">
      <c r="A36">
        <v>1935</v>
      </c>
      <c r="B36">
        <v>408</v>
      </c>
      <c r="C36">
        <v>1751830</v>
      </c>
      <c r="D36">
        <v>1751.83</v>
      </c>
      <c r="E36">
        <v>700.73199999999997</v>
      </c>
      <c r="F36">
        <v>87</v>
      </c>
      <c r="G36" s="5">
        <v>0.71311475409836067</v>
      </c>
    </row>
    <row r="37" spans="1:17">
      <c r="A37">
        <v>1936</v>
      </c>
      <c r="B37">
        <v>420</v>
      </c>
      <c r="C37">
        <v>1862900</v>
      </c>
      <c r="D37">
        <v>1862.9</v>
      </c>
      <c r="E37">
        <v>745.16000000000008</v>
      </c>
      <c r="F37">
        <v>94</v>
      </c>
      <c r="G37" s="5">
        <v>0.77049180327868849</v>
      </c>
    </row>
    <row r="38" spans="1:17">
      <c r="A38">
        <v>1937</v>
      </c>
      <c r="B38">
        <v>432</v>
      </c>
      <c r="C38">
        <v>1812320</v>
      </c>
      <c r="D38">
        <v>1812.32</v>
      </c>
      <c r="E38">
        <v>724.928</v>
      </c>
      <c r="F38">
        <v>91</v>
      </c>
      <c r="G38" s="5">
        <v>0.74590163934426235</v>
      </c>
    </row>
    <row r="39" spans="1:17">
      <c r="A39">
        <v>1938</v>
      </c>
      <c r="B39">
        <v>444</v>
      </c>
      <c r="C39">
        <v>2601720</v>
      </c>
      <c r="D39">
        <v>2601.7199999999998</v>
      </c>
      <c r="E39">
        <v>1040.6879999999999</v>
      </c>
      <c r="F39">
        <v>117</v>
      </c>
      <c r="G39" s="5">
        <v>0.95901639344262291</v>
      </c>
    </row>
    <row r="40" spans="1:17">
      <c r="A40">
        <v>1939</v>
      </c>
      <c r="B40">
        <v>456</v>
      </c>
      <c r="C40">
        <v>776310</v>
      </c>
      <c r="D40">
        <v>776.31</v>
      </c>
      <c r="E40">
        <v>310.524</v>
      </c>
      <c r="F40">
        <v>19</v>
      </c>
      <c r="G40" s="5">
        <v>0.15573770491803279</v>
      </c>
    </row>
    <row r="41" spans="1:17">
      <c r="A41">
        <v>1940</v>
      </c>
      <c r="B41">
        <v>468</v>
      </c>
      <c r="C41">
        <v>1837600</v>
      </c>
      <c r="D41">
        <v>1837.6</v>
      </c>
      <c r="E41">
        <v>735.04</v>
      </c>
      <c r="F41">
        <v>92</v>
      </c>
      <c r="G41" s="5">
        <v>0.75409836065573765</v>
      </c>
    </row>
    <row r="42" spans="1:17">
      <c r="A42">
        <v>1941</v>
      </c>
      <c r="B42">
        <v>480</v>
      </c>
      <c r="C42">
        <v>1955790</v>
      </c>
      <c r="D42">
        <v>1955.79</v>
      </c>
      <c r="E42">
        <v>782.31600000000003</v>
      </c>
      <c r="F42">
        <v>96</v>
      </c>
      <c r="G42" s="5">
        <v>0.78688524590163933</v>
      </c>
    </row>
    <row r="43" spans="1:17">
      <c r="A43">
        <v>1942</v>
      </c>
      <c r="B43">
        <v>492</v>
      </c>
      <c r="C43">
        <v>1697700</v>
      </c>
      <c r="D43">
        <v>1697.7</v>
      </c>
      <c r="E43">
        <v>679.08</v>
      </c>
      <c r="F43">
        <v>82</v>
      </c>
      <c r="G43" s="5">
        <v>0.67213114754098358</v>
      </c>
    </row>
    <row r="44" spans="1:17">
      <c r="A44">
        <v>1943</v>
      </c>
      <c r="B44">
        <v>504</v>
      </c>
      <c r="C44">
        <v>1768270</v>
      </c>
      <c r="D44">
        <v>1768.27</v>
      </c>
      <c r="E44">
        <v>707.30799999999999</v>
      </c>
      <c r="F44">
        <v>90</v>
      </c>
      <c r="G44" s="5">
        <v>0.73770491803278693</v>
      </c>
    </row>
    <row r="45" spans="1:17">
      <c r="A45">
        <v>1944</v>
      </c>
      <c r="B45">
        <v>516</v>
      </c>
      <c r="C45">
        <v>1103230</v>
      </c>
      <c r="D45">
        <v>1103.23</v>
      </c>
      <c r="E45">
        <v>441.29200000000003</v>
      </c>
      <c r="F45">
        <v>42</v>
      </c>
      <c r="G45" s="5">
        <v>0.34426229508196721</v>
      </c>
    </row>
    <row r="46" spans="1:17">
      <c r="A46">
        <v>1945</v>
      </c>
      <c r="B46">
        <v>528</v>
      </c>
      <c r="C46">
        <v>1670840</v>
      </c>
      <c r="D46">
        <v>1670.84</v>
      </c>
      <c r="E46">
        <v>668.33600000000001</v>
      </c>
      <c r="F46">
        <v>79</v>
      </c>
      <c r="G46" s="5">
        <v>0.64754098360655743</v>
      </c>
    </row>
    <row r="47" spans="1:17">
      <c r="A47">
        <v>1946</v>
      </c>
      <c r="B47">
        <v>540</v>
      </c>
      <c r="C47">
        <v>1326590</v>
      </c>
      <c r="D47">
        <v>1326.59</v>
      </c>
      <c r="E47">
        <v>530.63599999999997</v>
      </c>
      <c r="F47">
        <v>60</v>
      </c>
      <c r="G47" s="5">
        <v>0.49180327868852458</v>
      </c>
    </row>
    <row r="48" spans="1:17">
      <c r="A48">
        <v>1947</v>
      </c>
      <c r="B48">
        <v>552</v>
      </c>
      <c r="C48">
        <v>871750</v>
      </c>
      <c r="D48">
        <v>871.75</v>
      </c>
      <c r="E48">
        <v>348.70000000000005</v>
      </c>
      <c r="F48">
        <v>24</v>
      </c>
      <c r="G48" s="5">
        <v>0.19672131147540983</v>
      </c>
    </row>
    <row r="49" spans="1:7">
      <c r="A49">
        <v>1948</v>
      </c>
      <c r="B49">
        <v>564</v>
      </c>
      <c r="C49">
        <v>1189930</v>
      </c>
      <c r="D49">
        <v>1189.93</v>
      </c>
      <c r="E49">
        <v>475.97200000000004</v>
      </c>
      <c r="F49">
        <v>48</v>
      </c>
      <c r="G49" s="5">
        <v>0.39344262295081966</v>
      </c>
    </row>
    <row r="50" spans="1:7">
      <c r="A50">
        <v>1949</v>
      </c>
      <c r="B50">
        <v>576</v>
      </c>
      <c r="C50">
        <v>1157400</v>
      </c>
      <c r="D50">
        <v>1157.4000000000001</v>
      </c>
      <c r="E50">
        <v>462.96000000000004</v>
      </c>
      <c r="F50">
        <v>45</v>
      </c>
      <c r="G50" s="5">
        <v>0.36885245901639346</v>
      </c>
    </row>
    <row r="51" spans="1:7">
      <c r="A51">
        <v>1950</v>
      </c>
      <c r="B51">
        <v>588</v>
      </c>
      <c r="C51">
        <v>1368590</v>
      </c>
      <c r="D51">
        <v>1368.59</v>
      </c>
      <c r="E51">
        <v>547.43600000000004</v>
      </c>
      <c r="F51">
        <v>63</v>
      </c>
      <c r="G51" s="5">
        <v>0.51639344262295084</v>
      </c>
    </row>
    <row r="52" spans="1:7">
      <c r="A52">
        <v>1951</v>
      </c>
      <c r="B52">
        <v>600</v>
      </c>
      <c r="C52">
        <v>1191010</v>
      </c>
      <c r="D52">
        <v>1191.01</v>
      </c>
      <c r="E52">
        <v>476.404</v>
      </c>
      <c r="F52">
        <v>49</v>
      </c>
      <c r="G52" s="5">
        <v>0.40163934426229508</v>
      </c>
    </row>
    <row r="53" spans="1:7">
      <c r="A53">
        <v>1952</v>
      </c>
      <c r="B53">
        <v>612</v>
      </c>
      <c r="C53">
        <v>2239530</v>
      </c>
      <c r="D53">
        <v>2239.5300000000002</v>
      </c>
      <c r="E53">
        <v>895.81200000000013</v>
      </c>
      <c r="F53">
        <v>107</v>
      </c>
      <c r="G53" s="5">
        <v>0.87704918032786883</v>
      </c>
    </row>
    <row r="54" spans="1:7">
      <c r="A54">
        <v>1953</v>
      </c>
      <c r="B54">
        <v>624</v>
      </c>
      <c r="C54">
        <v>1113710</v>
      </c>
      <c r="D54">
        <v>1113.71</v>
      </c>
      <c r="E54">
        <v>445.48400000000004</v>
      </c>
      <c r="F54">
        <v>43</v>
      </c>
      <c r="G54" s="5">
        <v>0.35245901639344263</v>
      </c>
    </row>
    <row r="55" spans="1:7">
      <c r="A55">
        <v>1954</v>
      </c>
      <c r="B55">
        <v>636</v>
      </c>
      <c r="C55">
        <v>1296440</v>
      </c>
      <c r="D55">
        <v>1296.44</v>
      </c>
      <c r="E55">
        <v>518.57600000000002</v>
      </c>
      <c r="F55">
        <v>56</v>
      </c>
      <c r="G55" s="5">
        <v>0.45901639344262296</v>
      </c>
    </row>
    <row r="56" spans="1:7">
      <c r="A56">
        <v>1955</v>
      </c>
      <c r="B56">
        <v>648</v>
      </c>
      <c r="C56">
        <v>946150</v>
      </c>
      <c r="D56">
        <v>946.15</v>
      </c>
      <c r="E56">
        <v>378.46000000000004</v>
      </c>
      <c r="F56">
        <v>31</v>
      </c>
      <c r="G56" s="5">
        <v>0.25409836065573771</v>
      </c>
    </row>
    <row r="57" spans="1:7">
      <c r="A57">
        <v>1956</v>
      </c>
      <c r="B57">
        <v>660</v>
      </c>
      <c r="C57">
        <v>1757900</v>
      </c>
      <c r="D57">
        <v>1757.9</v>
      </c>
      <c r="E57">
        <v>703.16000000000008</v>
      </c>
      <c r="F57">
        <v>88</v>
      </c>
      <c r="G57" s="5">
        <v>0.72131147540983609</v>
      </c>
    </row>
    <row r="58" spans="1:7">
      <c r="A58">
        <v>1957</v>
      </c>
      <c r="B58">
        <v>672</v>
      </c>
      <c r="C58">
        <v>1234760</v>
      </c>
      <c r="D58">
        <v>1234.76</v>
      </c>
      <c r="E58">
        <v>493.904</v>
      </c>
      <c r="F58">
        <v>54</v>
      </c>
      <c r="G58" s="5">
        <v>0.44262295081967212</v>
      </c>
    </row>
    <row r="59" spans="1:7">
      <c r="A59">
        <v>1958</v>
      </c>
      <c r="B59">
        <v>684</v>
      </c>
      <c r="C59">
        <v>2199130</v>
      </c>
      <c r="D59">
        <v>2199.13</v>
      </c>
      <c r="E59">
        <v>879.65200000000004</v>
      </c>
      <c r="F59">
        <v>106</v>
      </c>
      <c r="G59" s="5">
        <v>0.86885245901639341</v>
      </c>
    </row>
    <row r="60" spans="1:7">
      <c r="A60">
        <v>1959</v>
      </c>
      <c r="B60">
        <v>696</v>
      </c>
      <c r="C60">
        <v>829580</v>
      </c>
      <c r="D60">
        <v>829.58</v>
      </c>
      <c r="E60">
        <v>331.83200000000005</v>
      </c>
      <c r="F60">
        <v>22</v>
      </c>
      <c r="G60" s="5">
        <v>0.18032786885245902</v>
      </c>
    </row>
    <row r="61" spans="1:7">
      <c r="A61">
        <v>1960</v>
      </c>
      <c r="B61">
        <v>708</v>
      </c>
      <c r="C61">
        <v>973030</v>
      </c>
      <c r="D61">
        <v>973.03</v>
      </c>
      <c r="E61">
        <v>389.21199999999999</v>
      </c>
      <c r="F61">
        <v>35</v>
      </c>
      <c r="G61" s="5">
        <v>0.28688524590163933</v>
      </c>
    </row>
    <row r="62" spans="1:7">
      <c r="A62">
        <v>1961</v>
      </c>
      <c r="B62">
        <v>720</v>
      </c>
      <c r="C62">
        <v>624880</v>
      </c>
      <c r="D62">
        <v>624.88</v>
      </c>
      <c r="E62">
        <v>249.952</v>
      </c>
      <c r="F62">
        <v>9</v>
      </c>
      <c r="G62" s="5">
        <v>7.3770491803278687E-2</v>
      </c>
    </row>
    <row r="63" spans="1:7">
      <c r="A63">
        <v>1962</v>
      </c>
      <c r="B63">
        <v>732</v>
      </c>
      <c r="C63">
        <v>1569420</v>
      </c>
      <c r="D63">
        <v>1569.42</v>
      </c>
      <c r="E63">
        <v>627.76800000000003</v>
      </c>
      <c r="F63">
        <v>73</v>
      </c>
      <c r="G63" s="5">
        <v>0.59836065573770492</v>
      </c>
    </row>
    <row r="64" spans="1:7">
      <c r="A64">
        <v>1963</v>
      </c>
      <c r="B64">
        <v>744</v>
      </c>
      <c r="C64">
        <v>1665560</v>
      </c>
      <c r="D64">
        <v>1665.56</v>
      </c>
      <c r="E64">
        <v>666.22400000000005</v>
      </c>
      <c r="F64">
        <v>78</v>
      </c>
      <c r="G64" s="5">
        <v>0.63934426229508201</v>
      </c>
    </row>
    <row r="65" spans="1:7">
      <c r="A65">
        <v>1964</v>
      </c>
      <c r="B65">
        <v>756</v>
      </c>
      <c r="C65">
        <v>844360</v>
      </c>
      <c r="D65">
        <v>844.36</v>
      </c>
      <c r="E65">
        <v>337.74400000000003</v>
      </c>
      <c r="F65">
        <v>23</v>
      </c>
      <c r="G65" s="5">
        <v>0.18852459016393441</v>
      </c>
    </row>
    <row r="66" spans="1:7">
      <c r="A66">
        <v>1965</v>
      </c>
      <c r="B66">
        <v>768</v>
      </c>
      <c r="C66">
        <v>1533480</v>
      </c>
      <c r="D66">
        <v>1533.48</v>
      </c>
      <c r="E66">
        <v>613.39200000000005</v>
      </c>
      <c r="F66">
        <v>69</v>
      </c>
      <c r="G66" s="5">
        <v>0.56557377049180324</v>
      </c>
    </row>
    <row r="67" spans="1:7">
      <c r="A67">
        <v>1966</v>
      </c>
      <c r="B67">
        <v>780</v>
      </c>
      <c r="C67">
        <v>961100</v>
      </c>
      <c r="D67">
        <v>961.1</v>
      </c>
      <c r="E67">
        <v>384.44000000000005</v>
      </c>
      <c r="F67">
        <v>32</v>
      </c>
      <c r="G67" s="5">
        <v>0.26229508196721313</v>
      </c>
    </row>
    <row r="68" spans="1:7">
      <c r="A68">
        <v>1967</v>
      </c>
      <c r="B68">
        <v>792</v>
      </c>
      <c r="C68">
        <v>2103340</v>
      </c>
      <c r="D68">
        <v>2103.34</v>
      </c>
      <c r="E68">
        <v>841.33600000000013</v>
      </c>
      <c r="F68">
        <v>104</v>
      </c>
      <c r="G68" s="5">
        <v>0.85245901639344257</v>
      </c>
    </row>
    <row r="69" spans="1:7">
      <c r="A69">
        <v>1968</v>
      </c>
      <c r="B69">
        <v>804</v>
      </c>
      <c r="C69">
        <v>873450</v>
      </c>
      <c r="D69">
        <v>873.45</v>
      </c>
      <c r="E69">
        <v>349.38000000000005</v>
      </c>
      <c r="F69">
        <v>25</v>
      </c>
      <c r="G69" s="5">
        <v>0.20491803278688525</v>
      </c>
    </row>
    <row r="70" spans="1:7">
      <c r="A70">
        <v>1969</v>
      </c>
      <c r="B70">
        <v>816</v>
      </c>
      <c r="C70">
        <v>2715800</v>
      </c>
      <c r="D70">
        <v>2715.8</v>
      </c>
      <c r="E70">
        <v>1086.3200000000002</v>
      </c>
      <c r="F70">
        <v>119</v>
      </c>
      <c r="G70" s="5">
        <v>0.97540983606557374</v>
      </c>
    </row>
    <row r="71" spans="1:7">
      <c r="A71">
        <v>1970</v>
      </c>
      <c r="B71">
        <v>828</v>
      </c>
      <c r="C71">
        <v>1234222</v>
      </c>
      <c r="D71">
        <v>1234.222</v>
      </c>
      <c r="E71">
        <v>493.68880000000001</v>
      </c>
      <c r="F71">
        <v>53</v>
      </c>
      <c r="G71" s="5">
        <v>0.4344262295081967</v>
      </c>
    </row>
    <row r="72" spans="1:7">
      <c r="A72">
        <v>1971</v>
      </c>
      <c r="B72">
        <v>840</v>
      </c>
      <c r="C72">
        <v>1202001</v>
      </c>
      <c r="D72">
        <v>1202.001</v>
      </c>
      <c r="E72">
        <v>480.80040000000002</v>
      </c>
      <c r="F72">
        <v>50</v>
      </c>
      <c r="G72" s="5">
        <v>0.4098360655737705</v>
      </c>
    </row>
    <row r="73" spans="1:7">
      <c r="A73">
        <v>1972</v>
      </c>
      <c r="B73">
        <v>852</v>
      </c>
      <c r="C73">
        <v>978948</v>
      </c>
      <c r="D73">
        <v>978.94799999999998</v>
      </c>
      <c r="E73">
        <v>391.57920000000001</v>
      </c>
      <c r="F73">
        <v>37</v>
      </c>
      <c r="G73" s="5">
        <v>0.30327868852459017</v>
      </c>
    </row>
    <row r="74" spans="1:7">
      <c r="A74">
        <v>1973</v>
      </c>
      <c r="B74">
        <v>864</v>
      </c>
      <c r="C74">
        <v>1674435</v>
      </c>
      <c r="D74">
        <v>1674.4349999999999</v>
      </c>
      <c r="E74">
        <v>669.774</v>
      </c>
      <c r="F74">
        <v>80</v>
      </c>
      <c r="G74" s="5">
        <v>0.65573770491803274</v>
      </c>
    </row>
    <row r="75" spans="1:7">
      <c r="A75">
        <v>1974</v>
      </c>
      <c r="B75">
        <v>876</v>
      </c>
      <c r="C75">
        <v>1573279</v>
      </c>
      <c r="D75">
        <v>1573.279</v>
      </c>
      <c r="E75">
        <v>629.3116</v>
      </c>
      <c r="F75">
        <v>74</v>
      </c>
      <c r="G75" s="5">
        <v>0.60655737704918034</v>
      </c>
    </row>
    <row r="76" spans="1:7">
      <c r="A76">
        <v>1975</v>
      </c>
      <c r="B76">
        <v>888</v>
      </c>
      <c r="C76">
        <v>1723135</v>
      </c>
      <c r="D76">
        <v>1723.135</v>
      </c>
      <c r="E76">
        <v>689.25400000000002</v>
      </c>
      <c r="F76">
        <v>84</v>
      </c>
      <c r="G76" s="5">
        <v>0.68852459016393441</v>
      </c>
    </row>
    <row r="77" spans="1:7">
      <c r="A77">
        <v>1976</v>
      </c>
      <c r="B77">
        <v>900</v>
      </c>
      <c r="C77">
        <v>456623</v>
      </c>
      <c r="D77">
        <v>456.62299999999999</v>
      </c>
      <c r="E77">
        <v>182.64920000000001</v>
      </c>
      <c r="F77">
        <v>3</v>
      </c>
      <c r="G77" s="5">
        <v>2.4590163934426229E-2</v>
      </c>
    </row>
    <row r="78" spans="1:7">
      <c r="A78">
        <v>1977</v>
      </c>
      <c r="B78">
        <v>912</v>
      </c>
      <c r="C78">
        <v>330233</v>
      </c>
      <c r="D78">
        <v>330.233</v>
      </c>
      <c r="E78">
        <v>132.0932</v>
      </c>
      <c r="F78">
        <v>1</v>
      </c>
      <c r="G78" s="5">
        <v>8.1967213114754103E-3</v>
      </c>
    </row>
    <row r="79" spans="1:7">
      <c r="A79">
        <v>1978</v>
      </c>
      <c r="B79">
        <v>924</v>
      </c>
      <c r="C79">
        <v>2145015</v>
      </c>
      <c r="D79">
        <v>2145.0149999999999</v>
      </c>
      <c r="E79">
        <v>858.00599999999997</v>
      </c>
      <c r="F79">
        <v>105</v>
      </c>
      <c r="G79" s="5">
        <v>0.86065573770491799</v>
      </c>
    </row>
    <row r="80" spans="1:7">
      <c r="A80">
        <v>1979</v>
      </c>
      <c r="B80">
        <v>936</v>
      </c>
      <c r="C80">
        <v>1591711</v>
      </c>
      <c r="D80">
        <v>1591.711</v>
      </c>
      <c r="E80">
        <v>636.6844000000001</v>
      </c>
      <c r="F80">
        <v>75</v>
      </c>
      <c r="G80" s="5">
        <v>0.61475409836065575</v>
      </c>
    </row>
    <row r="81" spans="1:7">
      <c r="A81">
        <v>1980</v>
      </c>
      <c r="B81">
        <v>948</v>
      </c>
      <c r="C81">
        <v>1964467</v>
      </c>
      <c r="D81">
        <v>1964.4670000000001</v>
      </c>
      <c r="E81">
        <v>785.78680000000008</v>
      </c>
      <c r="F81">
        <v>98</v>
      </c>
      <c r="G81" s="5">
        <v>0.80327868852459017</v>
      </c>
    </row>
    <row r="82" spans="1:7">
      <c r="A82">
        <v>1981</v>
      </c>
      <c r="B82">
        <v>960</v>
      </c>
      <c r="C82">
        <v>912263</v>
      </c>
      <c r="D82">
        <v>912.26300000000003</v>
      </c>
      <c r="E82">
        <v>364.90520000000004</v>
      </c>
      <c r="F82">
        <v>29</v>
      </c>
      <c r="G82" s="5">
        <v>0.23770491803278687</v>
      </c>
    </row>
    <row r="83" spans="1:7">
      <c r="A83">
        <v>1982</v>
      </c>
      <c r="B83">
        <v>972</v>
      </c>
      <c r="C83">
        <v>2648388</v>
      </c>
      <c r="D83">
        <v>2648.3879999999999</v>
      </c>
      <c r="E83">
        <v>1059.3552</v>
      </c>
      <c r="F83">
        <v>118</v>
      </c>
      <c r="G83" s="5">
        <v>0.96721311475409832</v>
      </c>
    </row>
    <row r="84" spans="1:7">
      <c r="A84">
        <v>1983</v>
      </c>
      <c r="B84">
        <v>984</v>
      </c>
      <c r="C84">
        <v>2903632</v>
      </c>
      <c r="D84">
        <v>2903.6320000000001</v>
      </c>
      <c r="E84">
        <v>1161.4528</v>
      </c>
      <c r="F84">
        <v>121</v>
      </c>
      <c r="G84" s="5">
        <v>0.99180327868852458</v>
      </c>
    </row>
    <row r="85" spans="1:7">
      <c r="A85">
        <v>1984</v>
      </c>
      <c r="B85">
        <v>996</v>
      </c>
      <c r="C85">
        <v>1418372</v>
      </c>
      <c r="D85">
        <v>1418.3720000000001</v>
      </c>
      <c r="E85">
        <v>567.3488000000001</v>
      </c>
      <c r="F85">
        <v>65</v>
      </c>
      <c r="G85" s="5">
        <v>0.53278688524590168</v>
      </c>
    </row>
    <row r="86" spans="1:7">
      <c r="A86">
        <v>1985</v>
      </c>
      <c r="B86">
        <v>1008</v>
      </c>
      <c r="C86">
        <v>972756</v>
      </c>
      <c r="D86">
        <v>972.75599999999997</v>
      </c>
      <c r="E86">
        <v>389.10239999999999</v>
      </c>
      <c r="F86">
        <v>34</v>
      </c>
      <c r="G86" s="5">
        <v>0.27868852459016391</v>
      </c>
    </row>
    <row r="87" spans="1:7">
      <c r="A87">
        <v>1986</v>
      </c>
      <c r="B87">
        <v>1020</v>
      </c>
      <c r="C87">
        <v>2475708</v>
      </c>
      <c r="D87">
        <v>2475.7080000000001</v>
      </c>
      <c r="E87">
        <v>990.28320000000008</v>
      </c>
      <c r="F87">
        <v>113</v>
      </c>
      <c r="G87" s="5">
        <v>0.92622950819672134</v>
      </c>
    </row>
    <row r="88" spans="1:7">
      <c r="A88">
        <v>1987</v>
      </c>
      <c r="B88">
        <v>1032</v>
      </c>
      <c r="C88">
        <v>588509</v>
      </c>
      <c r="D88">
        <v>588.50900000000001</v>
      </c>
      <c r="E88">
        <v>235.40360000000001</v>
      </c>
      <c r="F88">
        <v>8</v>
      </c>
      <c r="G88" s="5">
        <v>6.5573770491803282E-2</v>
      </c>
    </row>
    <row r="89" spans="1:7">
      <c r="A89">
        <v>1988</v>
      </c>
      <c r="B89">
        <v>1044</v>
      </c>
      <c r="C89">
        <v>632490</v>
      </c>
      <c r="D89">
        <v>632.49</v>
      </c>
      <c r="E89">
        <v>252.99600000000001</v>
      </c>
      <c r="F89">
        <v>10</v>
      </c>
      <c r="G89" s="5">
        <v>8.1967213114754092E-2</v>
      </c>
    </row>
    <row r="90" spans="1:7">
      <c r="A90">
        <v>1989</v>
      </c>
      <c r="B90">
        <v>1056</v>
      </c>
      <c r="C90">
        <v>1184126</v>
      </c>
      <c r="D90">
        <v>1184.126</v>
      </c>
      <c r="E90">
        <v>473.65039999999999</v>
      </c>
      <c r="F90">
        <v>47</v>
      </c>
      <c r="G90" s="5">
        <v>0.38524590163934425</v>
      </c>
    </row>
    <row r="91" spans="1:7">
      <c r="A91">
        <v>1990</v>
      </c>
      <c r="B91">
        <v>1068</v>
      </c>
      <c r="C91">
        <v>684665</v>
      </c>
      <c r="D91">
        <v>684.66499999999996</v>
      </c>
      <c r="E91">
        <v>273.86599999999999</v>
      </c>
      <c r="F91">
        <v>13</v>
      </c>
      <c r="G91" s="5">
        <v>0.10655737704918032</v>
      </c>
    </row>
    <row r="92" spans="1:7">
      <c r="A92">
        <v>1991</v>
      </c>
      <c r="B92">
        <v>1080</v>
      </c>
      <c r="C92">
        <v>986853</v>
      </c>
      <c r="D92">
        <v>986.85299999999995</v>
      </c>
      <c r="E92">
        <v>394.74119999999999</v>
      </c>
      <c r="F92">
        <v>38</v>
      </c>
      <c r="G92" s="5">
        <v>0.31147540983606559</v>
      </c>
    </row>
    <row r="93" spans="1:7">
      <c r="A93">
        <v>1992</v>
      </c>
      <c r="B93">
        <v>1092</v>
      </c>
      <c r="C93">
        <v>673756</v>
      </c>
      <c r="D93">
        <v>673.75599999999997</v>
      </c>
      <c r="E93">
        <v>269.50240000000002</v>
      </c>
      <c r="F93">
        <v>12</v>
      </c>
      <c r="G93" s="5">
        <v>9.8360655737704916E-2</v>
      </c>
    </row>
    <row r="94" spans="1:7">
      <c r="A94">
        <v>1993</v>
      </c>
      <c r="B94">
        <v>1104</v>
      </c>
      <c r="C94">
        <v>1970022</v>
      </c>
      <c r="D94">
        <v>1970.0219999999999</v>
      </c>
      <c r="E94">
        <v>788.00880000000006</v>
      </c>
      <c r="F94">
        <v>99</v>
      </c>
      <c r="G94" s="5">
        <v>0.81147540983606559</v>
      </c>
    </row>
    <row r="95" spans="1:7">
      <c r="A95">
        <v>1994</v>
      </c>
      <c r="B95">
        <v>1116</v>
      </c>
      <c r="C95">
        <v>750529</v>
      </c>
      <c r="D95">
        <v>750.529</v>
      </c>
      <c r="E95">
        <v>300.21160000000003</v>
      </c>
      <c r="F95">
        <v>17</v>
      </c>
      <c r="G95" s="5">
        <v>0.13934426229508196</v>
      </c>
    </row>
    <row r="96" spans="1:7">
      <c r="A96">
        <v>1995</v>
      </c>
      <c r="B96">
        <v>1128</v>
      </c>
      <c r="C96">
        <v>2593602</v>
      </c>
      <c r="D96">
        <v>2593.6019999999999</v>
      </c>
      <c r="E96">
        <v>1037.4408000000001</v>
      </c>
      <c r="F96">
        <v>116</v>
      </c>
      <c r="G96" s="5">
        <v>0.95081967213114749</v>
      </c>
    </row>
    <row r="97" spans="1:7">
      <c r="A97">
        <v>1996</v>
      </c>
      <c r="B97">
        <v>1140</v>
      </c>
      <c r="C97">
        <v>1926206</v>
      </c>
      <c r="D97">
        <v>1926.2059999999999</v>
      </c>
      <c r="E97">
        <v>770.48239999999998</v>
      </c>
      <c r="F97">
        <v>95</v>
      </c>
      <c r="G97" s="5">
        <v>0.77868852459016391</v>
      </c>
    </row>
    <row r="98" spans="1:7">
      <c r="A98">
        <v>1997</v>
      </c>
      <c r="B98">
        <v>1152</v>
      </c>
      <c r="C98">
        <v>1555757</v>
      </c>
      <c r="D98">
        <v>1555.7570000000001</v>
      </c>
      <c r="E98">
        <v>622.30280000000005</v>
      </c>
      <c r="F98">
        <v>72</v>
      </c>
      <c r="G98" s="5">
        <v>0.5901639344262295</v>
      </c>
    </row>
    <row r="99" spans="1:7">
      <c r="A99">
        <v>1998</v>
      </c>
      <c r="B99">
        <v>1164</v>
      </c>
      <c r="C99">
        <v>2394864</v>
      </c>
      <c r="D99">
        <v>2394.864</v>
      </c>
      <c r="E99">
        <v>957.94560000000001</v>
      </c>
      <c r="F99">
        <v>110</v>
      </c>
      <c r="G99" s="5">
        <v>0.90163934426229508</v>
      </c>
    </row>
    <row r="100" spans="1:7">
      <c r="A100">
        <v>1999</v>
      </c>
      <c r="B100">
        <v>1176</v>
      </c>
      <c r="C100">
        <v>1689889</v>
      </c>
      <c r="D100">
        <v>1689.8889999999999</v>
      </c>
      <c r="E100">
        <v>675.9556</v>
      </c>
      <c r="F100">
        <v>81</v>
      </c>
      <c r="G100" s="5">
        <v>0.66393442622950816</v>
      </c>
    </row>
    <row r="101" spans="1:7">
      <c r="A101">
        <v>2000</v>
      </c>
      <c r="B101">
        <v>1188</v>
      </c>
      <c r="C101">
        <v>1725069</v>
      </c>
      <c r="D101">
        <v>1725.069</v>
      </c>
      <c r="E101">
        <v>690.02760000000001</v>
      </c>
      <c r="F101">
        <v>85</v>
      </c>
      <c r="G101" s="5">
        <v>0.69672131147540983</v>
      </c>
    </row>
    <row r="102" spans="1:7">
      <c r="A102">
        <v>2001</v>
      </c>
      <c r="B102">
        <v>1200</v>
      </c>
      <c r="C102">
        <v>929246</v>
      </c>
      <c r="D102">
        <v>929.24599999999998</v>
      </c>
      <c r="E102">
        <v>371.69839999999999</v>
      </c>
      <c r="F102">
        <v>30</v>
      </c>
      <c r="G102" s="5">
        <v>0.24590163934426229</v>
      </c>
    </row>
    <row r="103" spans="1:7">
      <c r="A103">
        <v>2002</v>
      </c>
      <c r="B103">
        <v>1212</v>
      </c>
      <c r="C103">
        <v>1117257</v>
      </c>
      <c r="D103">
        <v>1117.2570000000001</v>
      </c>
      <c r="E103">
        <v>446.90280000000007</v>
      </c>
      <c r="F103">
        <v>44</v>
      </c>
      <c r="G103" s="5">
        <v>0.36065573770491804</v>
      </c>
    </row>
    <row r="104" spans="1:7">
      <c r="A104">
        <v>2003</v>
      </c>
      <c r="B104">
        <v>1224</v>
      </c>
      <c r="C104">
        <v>1299628</v>
      </c>
      <c r="D104">
        <v>1299.6279999999999</v>
      </c>
      <c r="E104">
        <v>519.85119999999995</v>
      </c>
      <c r="F104">
        <v>58</v>
      </c>
      <c r="G104" s="5">
        <v>0.47540983606557374</v>
      </c>
    </row>
    <row r="105" spans="1:7">
      <c r="A105">
        <v>2004</v>
      </c>
      <c r="B105">
        <v>1236</v>
      </c>
      <c r="C105">
        <v>1096802</v>
      </c>
      <c r="D105">
        <v>1096.8019999999999</v>
      </c>
      <c r="E105">
        <v>438.7208</v>
      </c>
      <c r="F105">
        <v>41</v>
      </c>
      <c r="G105" s="5">
        <v>0.33606557377049179</v>
      </c>
    </row>
    <row r="106" spans="1:7">
      <c r="A106">
        <v>2005</v>
      </c>
      <c r="B106">
        <v>1248</v>
      </c>
      <c r="C106">
        <v>2247950</v>
      </c>
      <c r="D106">
        <v>2247.9499999999998</v>
      </c>
      <c r="E106">
        <v>899.18</v>
      </c>
      <c r="F106">
        <v>108</v>
      </c>
      <c r="G106" s="5">
        <v>0.88524590163934425</v>
      </c>
    </row>
    <row r="107" spans="1:7">
      <c r="A107">
        <v>2006</v>
      </c>
      <c r="B107">
        <v>1260</v>
      </c>
      <c r="C107">
        <v>2525591</v>
      </c>
      <c r="D107">
        <v>2525.5909999999999</v>
      </c>
      <c r="E107">
        <v>1010.2364</v>
      </c>
      <c r="F107">
        <v>115</v>
      </c>
      <c r="G107" s="5">
        <v>0.94262295081967218</v>
      </c>
    </row>
    <row r="108" spans="1:7">
      <c r="A108">
        <v>2007</v>
      </c>
      <c r="B108">
        <v>1272</v>
      </c>
      <c r="C108">
        <v>728780</v>
      </c>
      <c r="D108">
        <v>728.78</v>
      </c>
      <c r="E108">
        <v>291.512</v>
      </c>
      <c r="F108">
        <v>15</v>
      </c>
      <c r="G108" s="5">
        <v>0.12295081967213115</v>
      </c>
    </row>
    <row r="109" spans="1:7">
      <c r="A109">
        <v>2008</v>
      </c>
      <c r="B109">
        <v>1284</v>
      </c>
      <c r="C109">
        <v>977276</v>
      </c>
      <c r="D109">
        <v>977.27599999999995</v>
      </c>
      <c r="E109">
        <v>390.91039999999998</v>
      </c>
      <c r="F109">
        <v>36</v>
      </c>
      <c r="G109" s="5">
        <v>0.29508196721311475</v>
      </c>
    </row>
    <row r="110" spans="1:7">
      <c r="A110">
        <v>2009</v>
      </c>
      <c r="B110">
        <v>1296</v>
      </c>
      <c r="C110">
        <v>1394612</v>
      </c>
      <c r="D110">
        <v>1394.6120000000001</v>
      </c>
      <c r="E110">
        <v>557.84480000000008</v>
      </c>
      <c r="F110">
        <v>64</v>
      </c>
      <c r="G110" s="5">
        <v>0.52459016393442626</v>
      </c>
    </row>
    <row r="111" spans="1:7">
      <c r="A111">
        <v>2010</v>
      </c>
      <c r="B111">
        <v>1308</v>
      </c>
      <c r="C111">
        <v>1529827</v>
      </c>
      <c r="D111">
        <v>1529.827</v>
      </c>
      <c r="E111">
        <v>611.93079999999998</v>
      </c>
      <c r="F111">
        <v>68</v>
      </c>
      <c r="G111" s="5">
        <v>0.55737704918032782</v>
      </c>
    </row>
    <row r="112" spans="1:7">
      <c r="A112">
        <v>2011</v>
      </c>
      <c r="B112">
        <v>1320</v>
      </c>
      <c r="C112">
        <v>2279102</v>
      </c>
      <c r="D112">
        <v>2279.1019999999999</v>
      </c>
      <c r="E112">
        <v>911.64080000000001</v>
      </c>
      <c r="F112">
        <v>109</v>
      </c>
      <c r="G112" s="5">
        <v>0.89344262295081966</v>
      </c>
    </row>
    <row r="113" spans="1:7">
      <c r="A113">
        <v>2012</v>
      </c>
      <c r="B113">
        <v>1332</v>
      </c>
      <c r="C113">
        <v>736683</v>
      </c>
      <c r="D113">
        <v>736.68299999999999</v>
      </c>
      <c r="E113">
        <v>294.67320000000001</v>
      </c>
      <c r="F113">
        <v>16</v>
      </c>
      <c r="G113" s="5">
        <v>0.13114754098360656</v>
      </c>
    </row>
    <row r="114" spans="1:7">
      <c r="A114">
        <v>2013</v>
      </c>
      <c r="B114">
        <v>1344</v>
      </c>
      <c r="C114">
        <v>751859</v>
      </c>
      <c r="D114">
        <v>751.85900000000004</v>
      </c>
      <c r="E114">
        <v>300.74360000000001</v>
      </c>
      <c r="F114">
        <v>18</v>
      </c>
      <c r="G114" s="5">
        <v>0.14754098360655737</v>
      </c>
    </row>
    <row r="115" spans="1:7">
      <c r="A115">
        <v>2014</v>
      </c>
      <c r="B115">
        <v>1356</v>
      </c>
      <c r="C115">
        <v>558280</v>
      </c>
      <c r="D115">
        <v>558.28</v>
      </c>
      <c r="E115">
        <v>223.31200000000001</v>
      </c>
      <c r="F115">
        <v>7</v>
      </c>
      <c r="G115" s="5">
        <v>5.737704918032787E-2</v>
      </c>
    </row>
    <row r="116" spans="1:7">
      <c r="A116">
        <v>2015</v>
      </c>
      <c r="B116">
        <v>1368</v>
      </c>
      <c r="C116">
        <v>462109</v>
      </c>
      <c r="D116">
        <v>462.10899999999998</v>
      </c>
      <c r="E116">
        <v>184.84360000000001</v>
      </c>
      <c r="F116">
        <v>4</v>
      </c>
      <c r="G116" s="5">
        <v>3.2786885245901641E-2</v>
      </c>
    </row>
    <row r="117" spans="1:7">
      <c r="A117">
        <v>2016</v>
      </c>
      <c r="B117">
        <v>1380</v>
      </c>
      <c r="C117">
        <v>1461630</v>
      </c>
      <c r="D117">
        <v>1461.63</v>
      </c>
      <c r="E117">
        <v>584.65200000000004</v>
      </c>
      <c r="F117">
        <v>67</v>
      </c>
      <c r="G117" s="5">
        <v>0.54918032786885251</v>
      </c>
    </row>
    <row r="118" spans="1:7">
      <c r="A118">
        <v>2017</v>
      </c>
      <c r="B118">
        <v>1392</v>
      </c>
      <c r="C118">
        <v>3330924</v>
      </c>
      <c r="D118">
        <v>3330.924</v>
      </c>
      <c r="E118">
        <v>1332.3696</v>
      </c>
      <c r="F118">
        <v>122</v>
      </c>
      <c r="G118" s="5">
        <v>1</v>
      </c>
    </row>
    <row r="119" spans="1:7">
      <c r="A119">
        <v>2018</v>
      </c>
      <c r="B119">
        <v>1404</v>
      </c>
      <c r="C119">
        <v>1368068</v>
      </c>
      <c r="D119">
        <v>1368.068</v>
      </c>
      <c r="E119">
        <v>547.22720000000004</v>
      </c>
      <c r="F119">
        <v>62</v>
      </c>
      <c r="G119" s="5">
        <v>0.50819672131147542</v>
      </c>
    </row>
    <row r="120" spans="1:7">
      <c r="A120">
        <v>2019</v>
      </c>
      <c r="B120">
        <v>1416</v>
      </c>
      <c r="C120">
        <v>2454196</v>
      </c>
      <c r="D120">
        <v>2454.1959999999999</v>
      </c>
      <c r="E120">
        <v>981.67840000000001</v>
      </c>
      <c r="F120">
        <v>112</v>
      </c>
      <c r="G120" s="5">
        <v>0.91803278688524592</v>
      </c>
    </row>
    <row r="121" spans="1:7">
      <c r="A121">
        <v>2020</v>
      </c>
      <c r="B121">
        <v>1428</v>
      </c>
      <c r="C121">
        <v>787446</v>
      </c>
      <c r="D121">
        <v>787.44600000000003</v>
      </c>
      <c r="E121">
        <v>314.97840000000002</v>
      </c>
      <c r="F121">
        <v>20</v>
      </c>
      <c r="G121" s="5">
        <v>0.16393442622950818</v>
      </c>
    </row>
    <row r="122" spans="1:7">
      <c r="A122">
        <v>2021</v>
      </c>
      <c r="B122">
        <v>1440</v>
      </c>
      <c r="C122">
        <v>545620</v>
      </c>
      <c r="D122">
        <v>545.62</v>
      </c>
      <c r="E122">
        <v>218.24800000000002</v>
      </c>
      <c r="F122">
        <v>6</v>
      </c>
      <c r="G122" s="5">
        <v>4.9180327868852458E-2</v>
      </c>
    </row>
    <row r="123" spans="1:7">
      <c r="A123">
        <v>2022</v>
      </c>
      <c r="B123">
        <v>1452</v>
      </c>
      <c r="C123">
        <v>690776</v>
      </c>
      <c r="D123">
        <v>690.77599999999995</v>
      </c>
      <c r="E123">
        <v>276.31040000000002</v>
      </c>
      <c r="F123">
        <v>14</v>
      </c>
      <c r="G123" s="5">
        <v>0.11475409836065574</v>
      </c>
    </row>
  </sheetData>
  <sortState xmlns:xlrd2="http://schemas.microsoft.com/office/spreadsheetml/2017/richdata2" ref="K1:Q126">
    <sortCondition ref="K1:K1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8"/>
  <sheetViews>
    <sheetView topLeftCell="C1" workbookViewId="0">
      <selection activeCell="K6" sqref="K6"/>
    </sheetView>
  </sheetViews>
  <sheetFormatPr baseColWidth="10" defaultRowHeight="16"/>
  <cols>
    <col min="2" max="2" width="10.83203125" customWidth="1"/>
  </cols>
  <sheetData>
    <row r="1" spans="1:14">
      <c r="A1" t="s">
        <v>2578</v>
      </c>
      <c r="C1" t="s">
        <v>2584</v>
      </c>
      <c r="D1" t="s">
        <v>2585</v>
      </c>
      <c r="J1" t="s">
        <v>2578</v>
      </c>
      <c r="K1" t="s">
        <v>2585</v>
      </c>
      <c r="L1" t="s">
        <v>2582</v>
      </c>
      <c r="M1" t="s">
        <v>2583</v>
      </c>
      <c r="N1" t="s">
        <v>2591</v>
      </c>
    </row>
    <row r="2" spans="1:14">
      <c r="A2">
        <v>1901</v>
      </c>
      <c r="B2">
        <v>0</v>
      </c>
      <c r="C2">
        <f>SUM(TLG65_MonthlyFNF!G2:G13)</f>
        <v>2920900</v>
      </c>
      <c r="D2">
        <f>C2/1000</f>
        <v>2920.9</v>
      </c>
      <c r="J2">
        <v>1901</v>
      </c>
      <c r="K2">
        <v>2920.9</v>
      </c>
      <c r="L2">
        <v>102</v>
      </c>
      <c r="M2" s="8">
        <v>0.83606557377049195</v>
      </c>
      <c r="N2" s="9">
        <f>AVERAGE(K2:K123)</f>
        <v>1886.8699344262288</v>
      </c>
    </row>
    <row r="3" spans="1:14">
      <c r="A3">
        <f>A2+1</f>
        <v>1902</v>
      </c>
      <c r="B3">
        <v>12</v>
      </c>
      <c r="C3">
        <f ca="1">SUM(INDIRECT("TLG65_MONTHLYFNF!G"&amp;2+B3):INDIRECT("TLG65_MONTHLYFNF!G"&amp;13+B3))</f>
        <v>1589840</v>
      </c>
      <c r="D3">
        <f t="shared" ref="D3:D66" ca="1" si="0">C3/1000</f>
        <v>1589.84</v>
      </c>
      <c r="J3">
        <v>1902</v>
      </c>
      <c r="K3">
        <v>1589.84</v>
      </c>
      <c r="L3">
        <v>55</v>
      </c>
      <c r="M3" s="8">
        <v>0.45081967213114754</v>
      </c>
      <c r="N3" s="9">
        <f>N2</f>
        <v>1886.8699344262288</v>
      </c>
    </row>
    <row r="4" spans="1:14">
      <c r="A4">
        <f>A3+1</f>
        <v>1903</v>
      </c>
      <c r="B4">
        <f>B3+12</f>
        <v>24</v>
      </c>
      <c r="C4">
        <f ca="1">SUM(INDIRECT("TLG65_MONTHLYFNF!G"&amp;2+B4):INDIRECT("TLG65_MONTHLYFNF!G"&amp;13+B4))</f>
        <v>1877350</v>
      </c>
      <c r="D4">
        <f t="shared" ca="1" si="0"/>
        <v>1877.35</v>
      </c>
      <c r="J4">
        <v>1903</v>
      </c>
      <c r="K4">
        <v>1877.35</v>
      </c>
      <c r="L4">
        <v>64</v>
      </c>
      <c r="M4" s="8">
        <v>0.52459016393442626</v>
      </c>
      <c r="N4" s="9">
        <f t="shared" ref="N4:N67" si="1">N3</f>
        <v>1886.8699344262288</v>
      </c>
    </row>
    <row r="5" spans="1:14">
      <c r="A5">
        <f t="shared" ref="A5:A68" si="2">A4+1</f>
        <v>1904</v>
      </c>
      <c r="B5">
        <f t="shared" ref="B5:B68" si="3">B4+12</f>
        <v>36</v>
      </c>
      <c r="C5">
        <f ca="1">SUM(INDIRECT("TLG65_MONTHLYFNF!G"&amp;2+B5):INDIRECT("TLG65_MONTHLYFNF!G"&amp;13+B5))</f>
        <v>2439400</v>
      </c>
      <c r="D5">
        <f t="shared" ca="1" si="0"/>
        <v>2439.4</v>
      </c>
      <c r="J5">
        <v>1904</v>
      </c>
      <c r="K5">
        <v>2439.4</v>
      </c>
      <c r="L5">
        <v>90</v>
      </c>
      <c r="M5" s="8">
        <v>0.73770491803278693</v>
      </c>
      <c r="N5" s="9">
        <f t="shared" si="1"/>
        <v>1886.8699344262288</v>
      </c>
    </row>
    <row r="6" spans="1:14">
      <c r="A6">
        <f t="shared" si="2"/>
        <v>1905</v>
      </c>
      <c r="B6">
        <f t="shared" si="3"/>
        <v>48</v>
      </c>
      <c r="C6">
        <f ca="1">SUM(INDIRECT("TLG65_MONTHLYFNF!G"&amp;2+B6):INDIRECT("TLG65_MONTHLYFNF!G"&amp;13+B6))</f>
        <v>1630720</v>
      </c>
      <c r="D6">
        <f t="shared" ca="1" si="0"/>
        <v>1630.72</v>
      </c>
      <c r="J6">
        <v>1905</v>
      </c>
      <c r="K6">
        <v>1630.72</v>
      </c>
      <c r="L6">
        <v>57</v>
      </c>
      <c r="M6" s="8">
        <v>0.46721311475409838</v>
      </c>
      <c r="N6" s="9">
        <f t="shared" si="1"/>
        <v>1886.8699344262288</v>
      </c>
    </row>
    <row r="7" spans="1:14">
      <c r="A7">
        <f t="shared" si="2"/>
        <v>1906</v>
      </c>
      <c r="B7">
        <f t="shared" si="3"/>
        <v>60</v>
      </c>
      <c r="C7">
        <f ca="1">SUM(INDIRECT("TLG65_MONTHLYFNF!G"&amp;2+B7):INDIRECT("TLG65_MONTHLYFNF!G"&amp;13+B7))</f>
        <v>3610020</v>
      </c>
      <c r="D7">
        <f t="shared" ca="1" si="0"/>
        <v>3610.02</v>
      </c>
      <c r="J7">
        <v>1906</v>
      </c>
      <c r="K7">
        <v>3610.02</v>
      </c>
      <c r="L7">
        <v>116</v>
      </c>
      <c r="M7" s="8">
        <v>0.95081967213114749</v>
      </c>
      <c r="N7" s="9">
        <f t="shared" si="1"/>
        <v>1886.8699344262288</v>
      </c>
    </row>
    <row r="8" spans="1:14">
      <c r="A8">
        <f t="shared" si="2"/>
        <v>1907</v>
      </c>
      <c r="B8">
        <f t="shared" si="3"/>
        <v>72</v>
      </c>
      <c r="C8">
        <f ca="1">SUM(INDIRECT("TLG65_MONTHLYFNF!G"&amp;2+B8):INDIRECT("TLG65_MONTHLYFNF!G"&amp;13+B8))</f>
        <v>3749500</v>
      </c>
      <c r="D8">
        <f t="shared" ca="1" si="0"/>
        <v>3749.5</v>
      </c>
      <c r="J8">
        <v>1907</v>
      </c>
      <c r="K8">
        <v>3749.5</v>
      </c>
      <c r="L8">
        <v>117</v>
      </c>
      <c r="M8" s="8">
        <v>0.95901639344262291</v>
      </c>
      <c r="N8" s="9">
        <f t="shared" si="1"/>
        <v>1886.8699344262288</v>
      </c>
    </row>
    <row r="9" spans="1:14">
      <c r="A9">
        <f t="shared" si="2"/>
        <v>1908</v>
      </c>
      <c r="B9">
        <f t="shared" si="3"/>
        <v>84</v>
      </c>
      <c r="C9">
        <f ca="1">SUM(INDIRECT("TLG65_MONTHLYFNF!G"&amp;2+B9):INDIRECT("TLG65_MONTHLYFNF!G"&amp;13+B9))</f>
        <v>1023560</v>
      </c>
      <c r="D9">
        <f t="shared" ca="1" si="0"/>
        <v>1023.56</v>
      </c>
      <c r="J9">
        <v>1908</v>
      </c>
      <c r="K9">
        <v>1023.56</v>
      </c>
      <c r="L9">
        <v>22</v>
      </c>
      <c r="M9" s="8">
        <v>0.18032786885245902</v>
      </c>
      <c r="N9" s="9">
        <f t="shared" si="1"/>
        <v>1886.8699344262288</v>
      </c>
    </row>
    <row r="10" spans="1:14">
      <c r="A10">
        <f t="shared" si="2"/>
        <v>1909</v>
      </c>
      <c r="B10">
        <f t="shared" si="3"/>
        <v>96</v>
      </c>
      <c r="C10">
        <f ca="1">SUM(INDIRECT("TLG65_MONTHLYFNF!G"&amp;2+B10):INDIRECT("TLG65_MONTHLYFNF!G"&amp;13+B10))</f>
        <v>2669400</v>
      </c>
      <c r="D10">
        <f t="shared" ca="1" si="0"/>
        <v>2669.4</v>
      </c>
      <c r="J10">
        <v>1909</v>
      </c>
      <c r="K10">
        <v>2669.4</v>
      </c>
      <c r="L10">
        <v>99</v>
      </c>
      <c r="M10" s="8">
        <v>0.81147540983606559</v>
      </c>
      <c r="N10" s="9">
        <f t="shared" si="1"/>
        <v>1886.8699344262288</v>
      </c>
    </row>
    <row r="11" spans="1:14">
      <c r="A11">
        <f t="shared" si="2"/>
        <v>1910</v>
      </c>
      <c r="B11">
        <f t="shared" si="3"/>
        <v>108</v>
      </c>
      <c r="C11">
        <f ca="1">SUM(INDIRECT("TLG65_MONTHLYFNF!G"&amp;2+B11):INDIRECT("TLG65_MONTHLYFNF!G"&amp;13+B11))</f>
        <v>2131700</v>
      </c>
      <c r="D11">
        <f t="shared" ca="1" si="0"/>
        <v>2131.6999999999998</v>
      </c>
      <c r="J11">
        <v>1910</v>
      </c>
      <c r="K11">
        <v>2131.6999999999998</v>
      </c>
      <c r="L11">
        <v>82</v>
      </c>
      <c r="M11" s="8">
        <v>0.67213114754098358</v>
      </c>
      <c r="N11" s="9">
        <f t="shared" si="1"/>
        <v>1886.8699344262288</v>
      </c>
    </row>
    <row r="12" spans="1:14">
      <c r="A12">
        <f t="shared" si="2"/>
        <v>1911</v>
      </c>
      <c r="B12">
        <f t="shared" si="3"/>
        <v>120</v>
      </c>
      <c r="C12">
        <f ca="1">SUM(INDIRECT("TLG65_MONTHLYFNF!G"&amp;2+B12):INDIRECT("TLG65_MONTHLYFNF!G"&amp;13+B12))</f>
        <v>3422100</v>
      </c>
      <c r="D12">
        <f t="shared" ca="1" si="0"/>
        <v>3422.1</v>
      </c>
      <c r="J12">
        <v>1911</v>
      </c>
      <c r="K12">
        <v>3422.1</v>
      </c>
      <c r="L12">
        <v>113</v>
      </c>
      <c r="M12" s="8">
        <v>0.92622950819672134</v>
      </c>
      <c r="N12" s="9">
        <f t="shared" si="1"/>
        <v>1886.8699344262288</v>
      </c>
    </row>
    <row r="13" spans="1:14">
      <c r="A13">
        <f t="shared" si="2"/>
        <v>1912</v>
      </c>
      <c r="B13">
        <f t="shared" si="3"/>
        <v>132</v>
      </c>
      <c r="C13">
        <f ca="1">SUM(INDIRECT("TLG65_MONTHLYFNF!G"&amp;2+B13):INDIRECT("TLG65_MONTHLYFNF!G"&amp;13+B13))</f>
        <v>1050980</v>
      </c>
      <c r="D13">
        <f t="shared" ca="1" si="0"/>
        <v>1050.98</v>
      </c>
      <c r="J13">
        <v>1912</v>
      </c>
      <c r="K13">
        <v>1050.98</v>
      </c>
      <c r="L13">
        <v>24</v>
      </c>
      <c r="M13" s="8">
        <v>0.19672131147540983</v>
      </c>
      <c r="N13" s="9">
        <f t="shared" si="1"/>
        <v>1886.8699344262288</v>
      </c>
    </row>
    <row r="14" spans="1:14">
      <c r="A14">
        <f t="shared" si="2"/>
        <v>1913</v>
      </c>
      <c r="B14">
        <f t="shared" si="3"/>
        <v>144</v>
      </c>
      <c r="C14">
        <f ca="1">SUM(INDIRECT("TLG65_MONTHLYFNF!G"&amp;2+B14):INDIRECT("TLG65_MONTHLYFNF!G"&amp;13+B14))</f>
        <v>1081330</v>
      </c>
      <c r="D14">
        <f t="shared" ca="1" si="0"/>
        <v>1081.33</v>
      </c>
      <c r="J14">
        <v>1913</v>
      </c>
      <c r="K14">
        <v>1081.33</v>
      </c>
      <c r="L14">
        <v>28</v>
      </c>
      <c r="M14" s="8">
        <v>0.22950819672131148</v>
      </c>
      <c r="N14" s="9">
        <f t="shared" si="1"/>
        <v>1886.8699344262288</v>
      </c>
    </row>
    <row r="15" spans="1:14">
      <c r="A15">
        <f t="shared" si="2"/>
        <v>1914</v>
      </c>
      <c r="B15">
        <f t="shared" si="3"/>
        <v>156</v>
      </c>
      <c r="C15">
        <f ca="1">SUM(INDIRECT("TLG65_MONTHLYFNF!G"&amp;2+B15):INDIRECT("TLG65_MONTHLYFNF!G"&amp;13+B15))</f>
        <v>2623700</v>
      </c>
      <c r="D15">
        <f t="shared" ca="1" si="0"/>
        <v>2623.7</v>
      </c>
      <c r="J15">
        <v>1914</v>
      </c>
      <c r="K15">
        <v>2623.7</v>
      </c>
      <c r="L15">
        <v>97</v>
      </c>
      <c r="M15" s="8">
        <v>0.79508196721311475</v>
      </c>
      <c r="N15" s="9">
        <f t="shared" si="1"/>
        <v>1886.8699344262288</v>
      </c>
    </row>
    <row r="16" spans="1:14">
      <c r="A16">
        <f t="shared" si="2"/>
        <v>1915</v>
      </c>
      <c r="B16">
        <f t="shared" si="3"/>
        <v>168</v>
      </c>
      <c r="C16">
        <f ca="1">SUM(INDIRECT("TLG65_MONTHLYFNF!G"&amp;2+B16):INDIRECT("TLG65_MONTHLYFNF!G"&amp;13+B16))</f>
        <v>2044880</v>
      </c>
      <c r="D16">
        <f t="shared" ca="1" si="0"/>
        <v>2044.88</v>
      </c>
      <c r="J16">
        <v>1915</v>
      </c>
      <c r="K16">
        <v>2044.88</v>
      </c>
      <c r="L16">
        <v>76</v>
      </c>
      <c r="M16" s="8">
        <v>0.62295081967213117</v>
      </c>
      <c r="N16" s="9">
        <f t="shared" si="1"/>
        <v>1886.8699344262288</v>
      </c>
    </row>
    <row r="17" spans="1:14">
      <c r="A17">
        <f t="shared" si="2"/>
        <v>1916</v>
      </c>
      <c r="B17">
        <f t="shared" si="3"/>
        <v>180</v>
      </c>
      <c r="C17">
        <f ca="1">SUM(INDIRECT("TLG65_MONTHLYFNF!G"&amp;2+B17):INDIRECT("TLG65_MONTHLYFNF!G"&amp;13+B17))</f>
        <v>2498170</v>
      </c>
      <c r="D17">
        <f t="shared" ca="1" si="0"/>
        <v>2498.17</v>
      </c>
      <c r="J17">
        <v>1916</v>
      </c>
      <c r="K17">
        <v>2498.17</v>
      </c>
      <c r="L17">
        <v>95</v>
      </c>
      <c r="M17" s="8">
        <v>0.77868852459016391</v>
      </c>
      <c r="N17" s="9">
        <f t="shared" si="1"/>
        <v>1886.8699344262288</v>
      </c>
    </row>
    <row r="18" spans="1:14">
      <c r="A18">
        <f t="shared" si="2"/>
        <v>1917</v>
      </c>
      <c r="B18">
        <f t="shared" si="3"/>
        <v>192</v>
      </c>
      <c r="C18">
        <f ca="1">SUM(INDIRECT("TLG65_MONTHLYFNF!G"&amp;2+B18):INDIRECT("TLG65_MONTHLYFNF!G"&amp;13+B18))</f>
        <v>2223030</v>
      </c>
      <c r="D18">
        <f t="shared" ca="1" si="0"/>
        <v>2223.0300000000002</v>
      </c>
      <c r="J18">
        <v>1917</v>
      </c>
      <c r="K18">
        <v>2223.0300000000002</v>
      </c>
      <c r="L18">
        <v>85</v>
      </c>
      <c r="M18" s="8">
        <v>0.69672131147540983</v>
      </c>
      <c r="N18" s="9">
        <f t="shared" si="1"/>
        <v>1886.8699344262288</v>
      </c>
    </row>
    <row r="19" spans="1:14">
      <c r="A19">
        <f t="shared" si="2"/>
        <v>1918</v>
      </c>
      <c r="B19">
        <f t="shared" si="3"/>
        <v>204</v>
      </c>
      <c r="C19">
        <f ca="1">SUM(INDIRECT("TLG65_MONTHLYFNF!G"&amp;2+B19):INDIRECT("TLG65_MONTHLYFNF!G"&amp;13+B19))</f>
        <v>1461590</v>
      </c>
      <c r="D19">
        <f t="shared" ca="1" si="0"/>
        <v>1461.59</v>
      </c>
      <c r="J19">
        <v>1918</v>
      </c>
      <c r="K19">
        <v>1461.59</v>
      </c>
      <c r="L19">
        <v>51</v>
      </c>
      <c r="M19" s="8">
        <v>0.41803278688524592</v>
      </c>
      <c r="N19" s="9">
        <f t="shared" si="1"/>
        <v>1886.8699344262288</v>
      </c>
    </row>
    <row r="20" spans="1:14">
      <c r="A20">
        <f t="shared" si="2"/>
        <v>1919</v>
      </c>
      <c r="B20">
        <f t="shared" si="3"/>
        <v>216</v>
      </c>
      <c r="C20">
        <f ca="1">SUM(INDIRECT("TLG65_MONTHLYFNF!G"&amp;2+B20):INDIRECT("TLG65_MONTHLYFNF!G"&amp;13+B20))</f>
        <v>1347180</v>
      </c>
      <c r="D20">
        <f t="shared" ca="1" si="0"/>
        <v>1347.18</v>
      </c>
      <c r="J20">
        <v>1919</v>
      </c>
      <c r="K20">
        <v>1347.18</v>
      </c>
      <c r="L20">
        <v>46</v>
      </c>
      <c r="M20" s="8">
        <v>0.37704918032786883</v>
      </c>
      <c r="N20" s="9">
        <f t="shared" si="1"/>
        <v>1886.8699344262288</v>
      </c>
    </row>
    <row r="21" spans="1:14">
      <c r="A21">
        <f t="shared" si="2"/>
        <v>1920</v>
      </c>
      <c r="B21">
        <f t="shared" si="3"/>
        <v>228</v>
      </c>
      <c r="C21">
        <f ca="1">SUM(INDIRECT("TLG65_MONTHLYFNF!G"&amp;2+B21):INDIRECT("TLG65_MONTHLYFNF!G"&amp;13+B21))</f>
        <v>1342310</v>
      </c>
      <c r="D21">
        <f t="shared" ca="1" si="0"/>
        <v>1342.31</v>
      </c>
      <c r="J21">
        <v>1920</v>
      </c>
      <c r="K21">
        <v>1342.31</v>
      </c>
      <c r="L21">
        <v>45</v>
      </c>
      <c r="M21" s="8">
        <v>0.36885245901639346</v>
      </c>
      <c r="N21" s="9">
        <f t="shared" si="1"/>
        <v>1886.8699344262288</v>
      </c>
    </row>
    <row r="22" spans="1:14">
      <c r="A22">
        <f t="shared" si="2"/>
        <v>1921</v>
      </c>
      <c r="B22">
        <f t="shared" si="3"/>
        <v>240</v>
      </c>
      <c r="C22">
        <f ca="1">SUM(INDIRECT("TLG65_MONTHLYFNF!G"&amp;2+B22):INDIRECT("TLG65_MONTHLYFNF!G"&amp;13+B22))</f>
        <v>2017930</v>
      </c>
      <c r="D22">
        <f t="shared" ca="1" si="0"/>
        <v>2017.93</v>
      </c>
      <c r="J22">
        <v>1921</v>
      </c>
      <c r="K22">
        <v>2017.93</v>
      </c>
      <c r="L22">
        <v>71</v>
      </c>
      <c r="M22" s="8">
        <v>0.58196721311475408</v>
      </c>
      <c r="N22" s="9">
        <f t="shared" si="1"/>
        <v>1886.8699344262288</v>
      </c>
    </row>
    <row r="23" spans="1:14">
      <c r="A23">
        <f t="shared" si="2"/>
        <v>1922</v>
      </c>
      <c r="B23">
        <f t="shared" si="3"/>
        <v>252</v>
      </c>
      <c r="C23">
        <f ca="1">SUM(INDIRECT("TLG65_MONTHLYFNF!G"&amp;2+B23):INDIRECT("TLG65_MONTHLYFNF!G"&amp;13+B23))</f>
        <v>2470920</v>
      </c>
      <c r="D23">
        <f t="shared" ca="1" si="0"/>
        <v>2470.92</v>
      </c>
      <c r="J23">
        <v>1922</v>
      </c>
      <c r="K23">
        <v>2470.92</v>
      </c>
      <c r="L23">
        <v>92</v>
      </c>
      <c r="M23" s="8">
        <v>0.75409836065573765</v>
      </c>
      <c r="N23" s="9">
        <f t="shared" si="1"/>
        <v>1886.8699344262288</v>
      </c>
    </row>
    <row r="24" spans="1:14">
      <c r="A24">
        <f t="shared" si="2"/>
        <v>1923</v>
      </c>
      <c r="B24">
        <f t="shared" si="3"/>
        <v>264</v>
      </c>
      <c r="C24">
        <f ca="1">SUM(INDIRECT("TLG65_MONTHLYFNF!G"&amp;2+B24):INDIRECT("TLG65_MONTHLYFNF!G"&amp;13+B24))</f>
        <v>1785980</v>
      </c>
      <c r="D24">
        <f t="shared" ca="1" si="0"/>
        <v>1785.98</v>
      </c>
      <c r="J24">
        <v>1923</v>
      </c>
      <c r="K24">
        <v>1785.98</v>
      </c>
      <c r="L24">
        <v>62</v>
      </c>
      <c r="M24" s="8">
        <v>0.50819672131147542</v>
      </c>
      <c r="N24" s="9">
        <f t="shared" si="1"/>
        <v>1886.8699344262288</v>
      </c>
    </row>
    <row r="25" spans="1:14">
      <c r="A25">
        <f t="shared" si="2"/>
        <v>1924</v>
      </c>
      <c r="B25">
        <f t="shared" si="3"/>
        <v>276</v>
      </c>
      <c r="C25">
        <f ca="1">SUM(INDIRECT("TLG65_MONTHLYFNF!G"&amp;2+B25):INDIRECT("TLG65_MONTHLYFNF!G"&amp;13+B25))</f>
        <v>542630</v>
      </c>
      <c r="D25">
        <f t="shared" ca="1" si="0"/>
        <v>542.63</v>
      </c>
      <c r="J25">
        <v>1924</v>
      </c>
      <c r="K25">
        <v>542.63</v>
      </c>
      <c r="L25">
        <v>2</v>
      </c>
      <c r="M25" s="8">
        <v>1.6393442622950821E-2</v>
      </c>
      <c r="N25" s="9">
        <f t="shared" si="1"/>
        <v>1886.8699344262288</v>
      </c>
    </row>
    <row r="26" spans="1:14">
      <c r="A26">
        <f t="shared" si="2"/>
        <v>1925</v>
      </c>
      <c r="B26">
        <f t="shared" si="3"/>
        <v>288</v>
      </c>
      <c r="C26">
        <f ca="1">SUM(INDIRECT("TLG65_MONTHLYFNF!G"&amp;2+B26):INDIRECT("TLG65_MONTHLYFNF!G"&amp;13+B26))</f>
        <v>1932120</v>
      </c>
      <c r="D26">
        <f t="shared" ca="1" si="0"/>
        <v>1932.12</v>
      </c>
      <c r="J26">
        <v>1925</v>
      </c>
      <c r="K26">
        <v>1932.12</v>
      </c>
      <c r="L26">
        <v>68</v>
      </c>
      <c r="M26" s="8">
        <v>0.55737704918032782</v>
      </c>
      <c r="N26" s="9">
        <f t="shared" si="1"/>
        <v>1886.8699344262288</v>
      </c>
    </row>
    <row r="27" spans="1:14">
      <c r="A27">
        <f t="shared" si="2"/>
        <v>1926</v>
      </c>
      <c r="B27">
        <f t="shared" si="3"/>
        <v>300</v>
      </c>
      <c r="C27">
        <f ca="1">SUM(INDIRECT("TLG65_MONTHLYFNF!G"&amp;2+B27):INDIRECT("TLG65_MONTHLYFNF!G"&amp;13+B27))</f>
        <v>1109910</v>
      </c>
      <c r="D27">
        <f t="shared" ca="1" si="0"/>
        <v>1109.9100000000001</v>
      </c>
      <c r="J27">
        <v>1926</v>
      </c>
      <c r="K27">
        <v>1109.9100000000001</v>
      </c>
      <c r="L27">
        <v>33</v>
      </c>
      <c r="M27" s="8">
        <v>0.27049180327868855</v>
      </c>
      <c r="N27" s="9">
        <f t="shared" si="1"/>
        <v>1886.8699344262288</v>
      </c>
    </row>
    <row r="28" spans="1:14">
      <c r="A28">
        <f t="shared" si="2"/>
        <v>1927</v>
      </c>
      <c r="B28">
        <f t="shared" si="3"/>
        <v>312</v>
      </c>
      <c r="C28">
        <f ca="1">SUM(INDIRECT("TLG65_MONTHLYFNF!G"&amp;2+B28):INDIRECT("TLG65_MONTHLYFNF!G"&amp;13+B28))</f>
        <v>2051400</v>
      </c>
      <c r="D28">
        <f t="shared" ca="1" si="0"/>
        <v>2051.4</v>
      </c>
      <c r="J28">
        <v>1927</v>
      </c>
      <c r="K28">
        <v>2051.4</v>
      </c>
      <c r="L28">
        <v>77</v>
      </c>
      <c r="M28" s="8">
        <v>0.63114754098360659</v>
      </c>
      <c r="N28" s="9">
        <f t="shared" si="1"/>
        <v>1886.8699344262288</v>
      </c>
    </row>
    <row r="29" spans="1:14">
      <c r="A29">
        <f t="shared" si="2"/>
        <v>1928</v>
      </c>
      <c r="B29">
        <f t="shared" si="3"/>
        <v>324</v>
      </c>
      <c r="C29">
        <f ca="1">SUM(INDIRECT("TLG65_MONTHLYFNF!G"&amp;2+B29):INDIRECT("TLG65_MONTHLYFNF!G"&amp;13+B29))</f>
        <v>1525020</v>
      </c>
      <c r="D29">
        <f t="shared" ca="1" si="0"/>
        <v>1525.02</v>
      </c>
      <c r="J29">
        <v>1928</v>
      </c>
      <c r="K29">
        <v>1525.02</v>
      </c>
      <c r="L29">
        <v>52</v>
      </c>
      <c r="M29" s="8">
        <v>0.42622950819672129</v>
      </c>
      <c r="N29" s="9">
        <f t="shared" si="1"/>
        <v>1886.8699344262288</v>
      </c>
    </row>
    <row r="30" spans="1:14">
      <c r="A30">
        <f t="shared" si="2"/>
        <v>1929</v>
      </c>
      <c r="B30">
        <f t="shared" si="3"/>
        <v>336</v>
      </c>
      <c r="C30">
        <f ca="1">SUM(INDIRECT("TLG65_MONTHLYFNF!G"&amp;2+B30):INDIRECT("TLG65_MONTHLYFNF!G"&amp;13+B30))</f>
        <v>979040</v>
      </c>
      <c r="D30">
        <f t="shared" ca="1" si="0"/>
        <v>979.04</v>
      </c>
      <c r="J30">
        <v>1929</v>
      </c>
      <c r="K30">
        <v>979.04</v>
      </c>
      <c r="L30">
        <v>18</v>
      </c>
      <c r="M30" s="8">
        <v>0.14754098360655737</v>
      </c>
      <c r="N30" s="9">
        <f t="shared" si="1"/>
        <v>1886.8699344262288</v>
      </c>
    </row>
    <row r="31" spans="1:14">
      <c r="A31">
        <f t="shared" si="2"/>
        <v>1930</v>
      </c>
      <c r="B31">
        <f t="shared" si="3"/>
        <v>348</v>
      </c>
      <c r="C31">
        <f ca="1">SUM(INDIRECT("TLG65_MONTHLYFNF!G"&amp;2+B31):INDIRECT("TLG65_MONTHLYFNF!G"&amp;13+B31))</f>
        <v>1147570</v>
      </c>
      <c r="D31">
        <f t="shared" ca="1" si="0"/>
        <v>1147.57</v>
      </c>
      <c r="J31">
        <v>1930</v>
      </c>
      <c r="K31">
        <v>1147.57</v>
      </c>
      <c r="L31">
        <v>37</v>
      </c>
      <c r="M31" s="8">
        <v>0.30327868852459017</v>
      </c>
      <c r="N31" s="9">
        <f t="shared" si="1"/>
        <v>1886.8699344262288</v>
      </c>
    </row>
    <row r="32" spans="1:14">
      <c r="A32">
        <f t="shared" si="2"/>
        <v>1931</v>
      </c>
      <c r="B32">
        <f t="shared" si="3"/>
        <v>360</v>
      </c>
      <c r="C32">
        <f ca="1">SUM(INDIRECT("TLG65_MONTHLYFNF!G"&amp;2+B32):INDIRECT("TLG65_MONTHLYFNF!G"&amp;13+B32))</f>
        <v>602290</v>
      </c>
      <c r="D32">
        <f t="shared" ca="1" si="0"/>
        <v>602.29</v>
      </c>
      <c r="J32">
        <v>1931</v>
      </c>
      <c r="K32">
        <v>602.29</v>
      </c>
      <c r="L32">
        <v>5</v>
      </c>
      <c r="M32" s="8">
        <v>4.0983606557377046E-2</v>
      </c>
      <c r="N32" s="9">
        <f t="shared" si="1"/>
        <v>1886.8699344262288</v>
      </c>
    </row>
    <row r="33" spans="1:14">
      <c r="A33">
        <f t="shared" si="2"/>
        <v>1932</v>
      </c>
      <c r="B33">
        <f t="shared" si="3"/>
        <v>372</v>
      </c>
      <c r="C33">
        <f ca="1">SUM(INDIRECT("TLG65_MONTHLYFNF!G"&amp;2+B33):INDIRECT("TLG65_MONTHLYFNF!G"&amp;13+B33))</f>
        <v>2114250</v>
      </c>
      <c r="D33">
        <f t="shared" ca="1" si="0"/>
        <v>2114.25</v>
      </c>
      <c r="J33">
        <v>1932</v>
      </c>
      <c r="K33">
        <v>2114.25</v>
      </c>
      <c r="L33">
        <v>80</v>
      </c>
      <c r="M33" s="8">
        <v>0.65573770491803274</v>
      </c>
      <c r="N33" s="9">
        <f t="shared" si="1"/>
        <v>1886.8699344262288</v>
      </c>
    </row>
    <row r="34" spans="1:14">
      <c r="A34">
        <f t="shared" si="2"/>
        <v>1933</v>
      </c>
      <c r="B34">
        <f t="shared" si="3"/>
        <v>384</v>
      </c>
      <c r="C34">
        <f ca="1">SUM(INDIRECT("TLG65_MONTHLYFNF!G"&amp;2+B34):INDIRECT("TLG65_MONTHLYFNF!G"&amp;13+B34))</f>
        <v>1104370</v>
      </c>
      <c r="D34">
        <f t="shared" ca="1" si="0"/>
        <v>1104.3699999999999</v>
      </c>
      <c r="J34">
        <v>1933</v>
      </c>
      <c r="K34">
        <v>1104.3699999999999</v>
      </c>
      <c r="L34">
        <v>32</v>
      </c>
      <c r="M34" s="8">
        <v>0.26229508196721313</v>
      </c>
      <c r="N34" s="9">
        <f t="shared" si="1"/>
        <v>1886.8699344262288</v>
      </c>
    </row>
    <row r="35" spans="1:14">
      <c r="A35">
        <f t="shared" si="2"/>
        <v>1934</v>
      </c>
      <c r="B35">
        <f t="shared" si="3"/>
        <v>396</v>
      </c>
      <c r="C35">
        <f ca="1">SUM(INDIRECT("TLG65_MONTHLYFNF!G"&amp;2+B35):INDIRECT("TLG65_MONTHLYFNF!G"&amp;13+B35))</f>
        <v>807220</v>
      </c>
      <c r="D35">
        <f t="shared" ca="1" si="0"/>
        <v>807.22</v>
      </c>
      <c r="J35">
        <v>1934</v>
      </c>
      <c r="K35">
        <v>807.22</v>
      </c>
      <c r="L35">
        <v>10</v>
      </c>
      <c r="M35" s="8">
        <v>8.1967213114754092E-2</v>
      </c>
      <c r="N35" s="9">
        <f t="shared" si="1"/>
        <v>1886.8699344262288</v>
      </c>
    </row>
    <row r="36" spans="1:14">
      <c r="A36">
        <f t="shared" si="2"/>
        <v>1935</v>
      </c>
      <c r="B36">
        <f t="shared" si="3"/>
        <v>408</v>
      </c>
      <c r="C36">
        <f ca="1">SUM(INDIRECT("TLG65_MONTHLYFNF!G"&amp;2+B36):INDIRECT("TLG65_MONTHLYFNF!G"&amp;13+B36))</f>
        <v>2102870</v>
      </c>
      <c r="D36">
        <f t="shared" ca="1" si="0"/>
        <v>2102.87</v>
      </c>
      <c r="J36">
        <v>1935</v>
      </c>
      <c r="K36">
        <v>2102.87</v>
      </c>
      <c r="L36">
        <v>79</v>
      </c>
      <c r="M36" s="8">
        <v>0.64754098360655743</v>
      </c>
      <c r="N36" s="9">
        <f t="shared" si="1"/>
        <v>1886.8699344262288</v>
      </c>
    </row>
    <row r="37" spans="1:14">
      <c r="A37">
        <f t="shared" si="2"/>
        <v>1936</v>
      </c>
      <c r="B37">
        <f t="shared" si="3"/>
        <v>420</v>
      </c>
      <c r="C37">
        <f ca="1">SUM(INDIRECT("TLG65_MONTHLYFNF!G"&amp;2+B37):INDIRECT("TLG65_MONTHLYFNF!G"&amp;13+B37))</f>
        <v>2160210</v>
      </c>
      <c r="D37">
        <f t="shared" ca="1" si="0"/>
        <v>2160.21</v>
      </c>
      <c r="J37">
        <v>1936</v>
      </c>
      <c r="K37">
        <v>2160.21</v>
      </c>
      <c r="L37">
        <v>83</v>
      </c>
      <c r="M37" s="8">
        <v>0.68032786885245899</v>
      </c>
      <c r="N37" s="9">
        <f t="shared" si="1"/>
        <v>1886.8699344262288</v>
      </c>
    </row>
    <row r="38" spans="1:14">
      <c r="A38">
        <f t="shared" si="2"/>
        <v>1937</v>
      </c>
      <c r="B38">
        <f t="shared" si="3"/>
        <v>432</v>
      </c>
      <c r="C38">
        <f ca="1">SUM(INDIRECT("TLG65_MONTHLYFNF!G"&amp;2+B38):INDIRECT("TLG65_MONTHLYFNF!G"&amp;13+B38))</f>
        <v>1997010</v>
      </c>
      <c r="D38">
        <f t="shared" ca="1" si="0"/>
        <v>1997.01</v>
      </c>
      <c r="J38">
        <v>1937</v>
      </c>
      <c r="K38">
        <v>1997.01</v>
      </c>
      <c r="L38">
        <v>70</v>
      </c>
      <c r="M38" s="8">
        <v>0.57377049180327866</v>
      </c>
      <c r="N38" s="9">
        <f t="shared" si="1"/>
        <v>1886.8699344262288</v>
      </c>
    </row>
    <row r="39" spans="1:14">
      <c r="A39">
        <f t="shared" si="2"/>
        <v>1938</v>
      </c>
      <c r="B39">
        <f t="shared" si="3"/>
        <v>444</v>
      </c>
      <c r="C39">
        <f ca="1">SUM(INDIRECT("TLG65_MONTHLYFNF!G"&amp;2+B39):INDIRECT("TLG65_MONTHLYFNF!G"&amp;13+B39))</f>
        <v>3424330</v>
      </c>
      <c r="D39">
        <f t="shared" ca="1" si="0"/>
        <v>3424.33</v>
      </c>
      <c r="J39">
        <v>1938</v>
      </c>
      <c r="K39">
        <v>3424.33</v>
      </c>
      <c r="L39">
        <v>114</v>
      </c>
      <c r="M39" s="8">
        <v>0.93442622950819676</v>
      </c>
      <c r="N39" s="9">
        <f t="shared" si="1"/>
        <v>1886.8699344262288</v>
      </c>
    </row>
    <row r="40" spans="1:14">
      <c r="A40">
        <f t="shared" si="2"/>
        <v>1939</v>
      </c>
      <c r="B40">
        <f t="shared" si="3"/>
        <v>456</v>
      </c>
      <c r="C40">
        <f ca="1">SUM(INDIRECT("TLG65_MONTHLYFNF!G"&amp;2+B40):INDIRECT("TLG65_MONTHLYFNF!G"&amp;13+B40))</f>
        <v>981010</v>
      </c>
      <c r="D40">
        <f t="shared" ca="1" si="0"/>
        <v>981.01</v>
      </c>
      <c r="J40">
        <v>1939</v>
      </c>
      <c r="K40">
        <v>981.01</v>
      </c>
      <c r="L40">
        <v>19</v>
      </c>
      <c r="M40" s="8">
        <v>0.15573770491803279</v>
      </c>
      <c r="N40" s="9">
        <f t="shared" si="1"/>
        <v>1886.8699344262288</v>
      </c>
    </row>
    <row r="41" spans="1:14">
      <c r="A41">
        <f t="shared" si="2"/>
        <v>1940</v>
      </c>
      <c r="B41">
        <f t="shared" si="3"/>
        <v>468</v>
      </c>
      <c r="C41">
        <f ca="1">SUM(INDIRECT("TLG65_MONTHLYFNF!G"&amp;2+B41):INDIRECT("TLG65_MONTHLYFNF!G"&amp;13+B41))</f>
        <v>2212840</v>
      </c>
      <c r="D41">
        <f t="shared" ca="1" si="0"/>
        <v>2212.84</v>
      </c>
      <c r="J41">
        <v>1940</v>
      </c>
      <c r="K41">
        <v>2212.84</v>
      </c>
      <c r="L41">
        <v>84</v>
      </c>
      <c r="M41" s="8">
        <v>0.68852459016393441</v>
      </c>
      <c r="N41" s="9">
        <f t="shared" si="1"/>
        <v>1886.8699344262288</v>
      </c>
    </row>
    <row r="42" spans="1:14">
      <c r="A42">
        <f t="shared" si="2"/>
        <v>1941</v>
      </c>
      <c r="B42">
        <f t="shared" si="3"/>
        <v>480</v>
      </c>
      <c r="C42">
        <f ca="1">SUM(INDIRECT("TLG65_MONTHLYFNF!G"&amp;2+B42):INDIRECT("TLG65_MONTHLYFNF!G"&amp;13+B42))</f>
        <v>2489360</v>
      </c>
      <c r="D42">
        <f t="shared" ca="1" si="0"/>
        <v>2489.36</v>
      </c>
      <c r="J42">
        <v>1941</v>
      </c>
      <c r="K42">
        <v>2489.36</v>
      </c>
      <c r="L42">
        <v>94</v>
      </c>
      <c r="M42" s="8">
        <v>0.77049180327868849</v>
      </c>
      <c r="N42" s="9">
        <f t="shared" si="1"/>
        <v>1886.8699344262288</v>
      </c>
    </row>
    <row r="43" spans="1:14">
      <c r="A43">
        <f t="shared" si="2"/>
        <v>1942</v>
      </c>
      <c r="B43">
        <f t="shared" si="3"/>
        <v>492</v>
      </c>
      <c r="C43">
        <f ca="1">SUM(INDIRECT("TLG65_MONTHLYFNF!G"&amp;2+B43):INDIRECT("TLG65_MONTHLYFNF!G"&amp;13+B43))</f>
        <v>2355520</v>
      </c>
      <c r="D43">
        <f t="shared" ca="1" si="0"/>
        <v>2355.52</v>
      </c>
      <c r="J43">
        <v>1942</v>
      </c>
      <c r="K43">
        <v>2355.52</v>
      </c>
      <c r="L43">
        <v>88</v>
      </c>
      <c r="M43" s="8">
        <v>0.72131147540983609</v>
      </c>
      <c r="N43" s="9">
        <f t="shared" si="1"/>
        <v>1886.8699344262288</v>
      </c>
    </row>
    <row r="44" spans="1:14">
      <c r="A44">
        <f t="shared" si="2"/>
        <v>1943</v>
      </c>
      <c r="B44">
        <f t="shared" si="3"/>
        <v>504</v>
      </c>
      <c r="C44">
        <f ca="1">SUM(INDIRECT("TLG65_MONTHLYFNF!G"&amp;2+B44):INDIRECT("TLG65_MONTHLYFNF!G"&amp;13+B44))</f>
        <v>2369810</v>
      </c>
      <c r="D44">
        <f t="shared" ca="1" si="0"/>
        <v>2369.81</v>
      </c>
      <c r="J44">
        <v>1943</v>
      </c>
      <c r="K44">
        <v>2369.81</v>
      </c>
      <c r="L44">
        <v>89</v>
      </c>
      <c r="M44" s="8">
        <v>0.72950819672131151</v>
      </c>
      <c r="N44" s="9">
        <f t="shared" si="1"/>
        <v>1886.8699344262288</v>
      </c>
    </row>
    <row r="45" spans="1:14">
      <c r="A45">
        <f t="shared" si="2"/>
        <v>1944</v>
      </c>
      <c r="B45">
        <f t="shared" si="3"/>
        <v>516</v>
      </c>
      <c r="C45">
        <f ca="1">SUM(INDIRECT("TLG65_MONTHLYFNF!G"&amp;2+B45):INDIRECT("TLG65_MONTHLYFNF!G"&amp;13+B45))</f>
        <v>1295310</v>
      </c>
      <c r="D45">
        <f t="shared" ca="1" si="0"/>
        <v>1295.31</v>
      </c>
      <c r="J45">
        <v>1944</v>
      </c>
      <c r="K45">
        <v>1295.31</v>
      </c>
      <c r="L45">
        <v>41</v>
      </c>
      <c r="M45" s="8">
        <v>0.33606557377049179</v>
      </c>
      <c r="N45" s="9">
        <f t="shared" si="1"/>
        <v>1886.8699344262288</v>
      </c>
    </row>
    <row r="46" spans="1:14">
      <c r="A46">
        <f t="shared" si="2"/>
        <v>1945</v>
      </c>
      <c r="B46">
        <f t="shared" si="3"/>
        <v>528</v>
      </c>
      <c r="C46">
        <f ca="1">SUM(INDIRECT("TLG65_MONTHLYFNF!G"&amp;2+B46):INDIRECT("TLG65_MONTHLYFNF!G"&amp;13+B46))</f>
        <v>2085740</v>
      </c>
      <c r="D46">
        <f t="shared" ca="1" si="0"/>
        <v>2085.7399999999998</v>
      </c>
      <c r="J46">
        <v>1945</v>
      </c>
      <c r="K46">
        <v>2085.7399999999998</v>
      </c>
      <c r="L46">
        <v>78</v>
      </c>
      <c r="M46" s="8">
        <v>0.63934426229508201</v>
      </c>
      <c r="N46" s="9">
        <f t="shared" si="1"/>
        <v>1886.8699344262288</v>
      </c>
    </row>
    <row r="47" spans="1:14">
      <c r="A47">
        <f t="shared" si="2"/>
        <v>1946</v>
      </c>
      <c r="B47">
        <f t="shared" si="3"/>
        <v>540</v>
      </c>
      <c r="C47">
        <f ca="1">SUM(INDIRECT("TLG65_MONTHLYFNF!G"&amp;2+B47):INDIRECT("TLG65_MONTHLYFNF!G"&amp;13+B47))</f>
        <v>1879310</v>
      </c>
      <c r="D47">
        <f t="shared" ca="1" si="0"/>
        <v>1879.31</v>
      </c>
      <c r="J47">
        <v>1946</v>
      </c>
      <c r="K47">
        <v>1879.31</v>
      </c>
      <c r="L47">
        <v>65</v>
      </c>
      <c r="M47" s="8">
        <v>0.53278688524590168</v>
      </c>
      <c r="N47" s="9">
        <f t="shared" si="1"/>
        <v>1886.8699344262288</v>
      </c>
    </row>
    <row r="48" spans="1:14">
      <c r="A48">
        <f t="shared" si="2"/>
        <v>1947</v>
      </c>
      <c r="B48">
        <f t="shared" si="3"/>
        <v>552</v>
      </c>
      <c r="C48">
        <f ca="1">SUM(INDIRECT("TLG65_MONTHLYFNF!G"&amp;2+B48):INDIRECT("TLG65_MONTHLYFNF!G"&amp;13+B48))</f>
        <v>1094180</v>
      </c>
      <c r="D48">
        <f t="shared" ca="1" si="0"/>
        <v>1094.18</v>
      </c>
      <c r="J48">
        <v>1947</v>
      </c>
      <c r="K48">
        <v>1094.18</v>
      </c>
      <c r="L48">
        <v>30</v>
      </c>
      <c r="M48" s="8">
        <v>0.24590163934426229</v>
      </c>
      <c r="N48" s="9">
        <f t="shared" si="1"/>
        <v>1886.8699344262288</v>
      </c>
    </row>
    <row r="49" spans="1:14">
      <c r="A49">
        <f t="shared" si="2"/>
        <v>1948</v>
      </c>
      <c r="B49">
        <f t="shared" si="3"/>
        <v>564</v>
      </c>
      <c r="C49">
        <f ca="1">SUM(INDIRECT("TLG65_MONTHLYFNF!G"&amp;2+B49):INDIRECT("TLG65_MONTHLYFNF!G"&amp;13+B49))</f>
        <v>1408550</v>
      </c>
      <c r="D49">
        <f t="shared" ca="1" si="0"/>
        <v>1408.55</v>
      </c>
      <c r="J49">
        <v>1948</v>
      </c>
      <c r="K49">
        <v>1408.55</v>
      </c>
      <c r="L49">
        <v>48</v>
      </c>
      <c r="M49" s="8">
        <v>0.39344262295081966</v>
      </c>
      <c r="N49" s="9">
        <f t="shared" si="1"/>
        <v>1886.8699344262288</v>
      </c>
    </row>
    <row r="50" spans="1:14">
      <c r="A50">
        <f t="shared" si="2"/>
        <v>1949</v>
      </c>
      <c r="B50">
        <f t="shared" si="3"/>
        <v>576</v>
      </c>
      <c r="C50">
        <f ca="1">SUM(INDIRECT("TLG65_MONTHLYFNF!G"&amp;2+B50):INDIRECT("TLG65_MONTHLYFNF!G"&amp;13+B50))</f>
        <v>1246130</v>
      </c>
      <c r="D50">
        <f t="shared" ca="1" si="0"/>
        <v>1246.1300000000001</v>
      </c>
      <c r="J50">
        <v>1949</v>
      </c>
      <c r="K50">
        <v>1246.1300000000001</v>
      </c>
      <c r="L50">
        <v>40</v>
      </c>
      <c r="M50" s="8">
        <v>0.32786885245901637</v>
      </c>
      <c r="N50" s="9">
        <f t="shared" si="1"/>
        <v>1886.8699344262288</v>
      </c>
    </row>
    <row r="51" spans="1:14">
      <c r="A51">
        <f t="shared" si="2"/>
        <v>1950</v>
      </c>
      <c r="B51">
        <f t="shared" si="3"/>
        <v>588</v>
      </c>
      <c r="C51">
        <f ca="1">SUM(INDIRECT("TLG65_MONTHLYFNF!G"&amp;2+B51):INDIRECT("TLG65_MONTHLYFNF!G"&amp;13+B51))</f>
        <v>1546360</v>
      </c>
      <c r="D51">
        <f t="shared" ca="1" si="0"/>
        <v>1546.36</v>
      </c>
      <c r="J51">
        <v>1950</v>
      </c>
      <c r="K51">
        <v>1546.36</v>
      </c>
      <c r="L51">
        <v>54</v>
      </c>
      <c r="M51" s="8">
        <v>0.44262295081967212</v>
      </c>
      <c r="N51" s="9">
        <f t="shared" si="1"/>
        <v>1886.8699344262288</v>
      </c>
    </row>
    <row r="52" spans="1:14">
      <c r="A52">
        <f t="shared" si="2"/>
        <v>1951</v>
      </c>
      <c r="B52">
        <f t="shared" si="3"/>
        <v>600</v>
      </c>
      <c r="C52">
        <f ca="1">SUM(INDIRECT("TLG65_MONTHLYFNF!G"&amp;2+B52):INDIRECT("TLG65_MONTHLYFNF!G"&amp;13+B52))</f>
        <v>2475180</v>
      </c>
      <c r="D52">
        <f t="shared" ca="1" si="0"/>
        <v>2475.1799999999998</v>
      </c>
      <c r="J52">
        <v>1951</v>
      </c>
      <c r="K52">
        <v>2475.1799999999998</v>
      </c>
      <c r="L52">
        <v>93</v>
      </c>
      <c r="M52" s="8">
        <v>0.76229508196721307</v>
      </c>
      <c r="N52" s="9">
        <f t="shared" si="1"/>
        <v>1886.8699344262288</v>
      </c>
    </row>
    <row r="53" spans="1:14">
      <c r="A53">
        <f t="shared" si="2"/>
        <v>1952</v>
      </c>
      <c r="B53">
        <f t="shared" si="3"/>
        <v>612</v>
      </c>
      <c r="C53">
        <f ca="1">SUM(INDIRECT("TLG65_MONTHLYFNF!G"&amp;2+B53):INDIRECT("TLG65_MONTHLYFNF!G"&amp;13+B53))</f>
        <v>2982360</v>
      </c>
      <c r="D53">
        <f t="shared" ca="1" si="0"/>
        <v>2982.36</v>
      </c>
      <c r="J53">
        <v>1952</v>
      </c>
      <c r="K53">
        <v>2982.36</v>
      </c>
      <c r="L53">
        <v>104</v>
      </c>
      <c r="M53" s="8">
        <v>0.85245901639344257</v>
      </c>
      <c r="N53" s="9">
        <f t="shared" si="1"/>
        <v>1886.8699344262288</v>
      </c>
    </row>
    <row r="54" spans="1:14">
      <c r="A54">
        <f t="shared" si="2"/>
        <v>1953</v>
      </c>
      <c r="B54">
        <f t="shared" si="3"/>
        <v>624</v>
      </c>
      <c r="C54">
        <f ca="1">SUM(INDIRECT("TLG65_MONTHLYFNF!G"&amp;2+B54):INDIRECT("TLG65_MONTHLYFNF!G"&amp;13+B54))</f>
        <v>1525400</v>
      </c>
      <c r="D54">
        <f t="shared" ca="1" si="0"/>
        <v>1525.4</v>
      </c>
      <c r="J54">
        <v>1953</v>
      </c>
      <c r="K54">
        <v>1525.4</v>
      </c>
      <c r="L54">
        <v>53</v>
      </c>
      <c r="M54" s="8">
        <v>0.4344262295081967</v>
      </c>
      <c r="N54" s="9">
        <f t="shared" si="1"/>
        <v>1886.8699344262288</v>
      </c>
    </row>
    <row r="55" spans="1:14">
      <c r="A55">
        <f t="shared" si="2"/>
        <v>1954</v>
      </c>
      <c r="B55">
        <f t="shared" si="3"/>
        <v>636</v>
      </c>
      <c r="C55">
        <f ca="1">SUM(INDIRECT("TLG65_MONTHLYFNF!G"&amp;2+B55):INDIRECT("TLG65_MONTHLYFNF!G"&amp;13+B55))</f>
        <v>1429180</v>
      </c>
      <c r="D55">
        <f t="shared" ca="1" si="0"/>
        <v>1429.18</v>
      </c>
      <c r="J55">
        <v>1954</v>
      </c>
      <c r="K55">
        <v>1429.18</v>
      </c>
      <c r="L55">
        <v>50</v>
      </c>
      <c r="M55" s="8">
        <v>0.4098360655737705</v>
      </c>
      <c r="N55" s="9">
        <f t="shared" si="1"/>
        <v>1886.8699344262288</v>
      </c>
    </row>
    <row r="56" spans="1:14">
      <c r="A56">
        <f t="shared" si="2"/>
        <v>1955</v>
      </c>
      <c r="B56">
        <f t="shared" si="3"/>
        <v>648</v>
      </c>
      <c r="C56">
        <f ca="1">SUM(INDIRECT("TLG65_MONTHLYFNF!G"&amp;2+B56):INDIRECT("TLG65_MONTHLYFNF!G"&amp;13+B56))</f>
        <v>1123700</v>
      </c>
      <c r="D56">
        <f t="shared" ca="1" si="0"/>
        <v>1123.7</v>
      </c>
      <c r="J56">
        <v>1955</v>
      </c>
      <c r="K56">
        <v>1123.7</v>
      </c>
      <c r="L56">
        <v>34</v>
      </c>
      <c r="M56" s="8">
        <v>0.27868852459016391</v>
      </c>
      <c r="N56" s="9">
        <f t="shared" si="1"/>
        <v>1886.8699344262288</v>
      </c>
    </row>
    <row r="57" spans="1:14">
      <c r="A57">
        <f t="shared" si="2"/>
        <v>1956</v>
      </c>
      <c r="B57">
        <f t="shared" si="3"/>
        <v>660</v>
      </c>
      <c r="C57">
        <f ca="1">SUM(INDIRECT("TLG65_MONTHLYFNF!G"&amp;2+B57):INDIRECT("TLG65_MONTHLYFNF!G"&amp;13+B57))</f>
        <v>3152840</v>
      </c>
      <c r="D57">
        <f t="shared" ca="1" si="0"/>
        <v>3152.84</v>
      </c>
      <c r="J57">
        <v>1956</v>
      </c>
      <c r="K57">
        <v>3152.84</v>
      </c>
      <c r="L57">
        <v>109</v>
      </c>
      <c r="M57" s="8">
        <v>0.89344262295081966</v>
      </c>
      <c r="N57" s="9">
        <f t="shared" si="1"/>
        <v>1886.8699344262288</v>
      </c>
    </row>
    <row r="58" spans="1:14">
      <c r="A58">
        <f t="shared" si="2"/>
        <v>1957</v>
      </c>
      <c r="B58">
        <f t="shared" si="3"/>
        <v>672</v>
      </c>
      <c r="C58">
        <f ca="1">SUM(INDIRECT("TLG65_MONTHLYFNF!G"&amp;2+B58):INDIRECT("TLG65_MONTHLYFNF!G"&amp;13+B58))</f>
        <v>1417570</v>
      </c>
      <c r="D58">
        <f t="shared" ca="1" si="0"/>
        <v>1417.57</v>
      </c>
      <c r="J58">
        <v>1957</v>
      </c>
      <c r="K58">
        <v>1417.57</v>
      </c>
      <c r="L58">
        <v>49</v>
      </c>
      <c r="M58" s="8">
        <v>0.40163934426229508</v>
      </c>
      <c r="N58" s="9">
        <f t="shared" si="1"/>
        <v>1886.8699344262288</v>
      </c>
    </row>
    <row r="59" spans="1:14">
      <c r="A59">
        <f t="shared" si="2"/>
        <v>1958</v>
      </c>
      <c r="B59">
        <f t="shared" si="3"/>
        <v>684</v>
      </c>
      <c r="C59">
        <f ca="1">SUM(INDIRECT("TLG65_MONTHLYFNF!G"&amp;2+B59):INDIRECT("TLG65_MONTHLYFNF!G"&amp;13+B59))</f>
        <v>2638370</v>
      </c>
      <c r="D59">
        <f t="shared" ca="1" si="0"/>
        <v>2638.37</v>
      </c>
      <c r="J59">
        <v>1958</v>
      </c>
      <c r="K59">
        <v>2638.37</v>
      </c>
      <c r="L59">
        <v>98</v>
      </c>
      <c r="M59" s="8">
        <v>0.80327868852459017</v>
      </c>
      <c r="N59" s="9">
        <f t="shared" si="1"/>
        <v>1886.8699344262288</v>
      </c>
    </row>
    <row r="60" spans="1:14">
      <c r="A60">
        <f t="shared" si="2"/>
        <v>1959</v>
      </c>
      <c r="B60">
        <f t="shared" si="3"/>
        <v>696</v>
      </c>
      <c r="C60">
        <f ca="1">SUM(INDIRECT("TLG65_MONTHLYFNF!G"&amp;2+B60):INDIRECT("TLG65_MONTHLYFNF!G"&amp;13+B60))</f>
        <v>989610</v>
      </c>
      <c r="D60">
        <f t="shared" ca="1" si="0"/>
        <v>989.61</v>
      </c>
      <c r="J60">
        <v>1959</v>
      </c>
      <c r="K60">
        <v>989.61</v>
      </c>
      <c r="L60">
        <v>20</v>
      </c>
      <c r="M60" s="8">
        <v>0.16393442622950818</v>
      </c>
      <c r="N60" s="9">
        <f t="shared" si="1"/>
        <v>1886.8699344262288</v>
      </c>
    </row>
    <row r="61" spans="1:14">
      <c r="A61">
        <f t="shared" si="2"/>
        <v>1960</v>
      </c>
      <c r="B61">
        <f t="shared" si="3"/>
        <v>708</v>
      </c>
      <c r="C61">
        <f ca="1">SUM(INDIRECT("TLG65_MONTHLYFNF!G"&amp;2+B61):INDIRECT("TLG65_MONTHLYFNF!G"&amp;13+B61))</f>
        <v>1052380</v>
      </c>
      <c r="D61">
        <f t="shared" ca="1" si="0"/>
        <v>1052.3800000000001</v>
      </c>
      <c r="J61">
        <v>1960</v>
      </c>
      <c r="K61">
        <v>1052.3800000000001</v>
      </c>
      <c r="L61">
        <v>25</v>
      </c>
      <c r="M61" s="8">
        <v>0.20491803278688525</v>
      </c>
      <c r="N61" s="9">
        <f t="shared" si="1"/>
        <v>1886.8699344262288</v>
      </c>
    </row>
    <row r="62" spans="1:14">
      <c r="A62">
        <f t="shared" si="2"/>
        <v>1961</v>
      </c>
      <c r="B62">
        <f t="shared" si="3"/>
        <v>720</v>
      </c>
      <c r="C62">
        <f ca="1">SUM(INDIRECT("TLG65_MONTHLYFNF!G"&amp;2+B62):INDIRECT("TLG65_MONTHLYFNF!G"&amp;13+B62))</f>
        <v>732390</v>
      </c>
      <c r="D62">
        <f t="shared" ca="1" si="0"/>
        <v>732.39</v>
      </c>
      <c r="J62">
        <v>1961</v>
      </c>
      <c r="K62">
        <v>732.39</v>
      </c>
      <c r="L62">
        <v>9</v>
      </c>
      <c r="M62" s="8">
        <v>7.3770491803278687E-2</v>
      </c>
      <c r="N62" s="9">
        <f t="shared" si="1"/>
        <v>1886.8699344262288</v>
      </c>
    </row>
    <row r="63" spans="1:14">
      <c r="A63">
        <f t="shared" si="2"/>
        <v>1962</v>
      </c>
      <c r="B63">
        <f t="shared" si="3"/>
        <v>732</v>
      </c>
      <c r="C63">
        <f ca="1">SUM(INDIRECT("TLG65_MONTHLYFNF!G"&amp;2+B63):INDIRECT("TLG65_MONTHLYFNF!G"&amp;13+B63))</f>
        <v>1765950</v>
      </c>
      <c r="D63">
        <f t="shared" ca="1" si="0"/>
        <v>1765.95</v>
      </c>
      <c r="J63">
        <v>1962</v>
      </c>
      <c r="K63">
        <v>1765.95</v>
      </c>
      <c r="L63">
        <v>61</v>
      </c>
      <c r="M63" s="8">
        <v>0.5</v>
      </c>
      <c r="N63" s="9">
        <f t="shared" si="1"/>
        <v>1886.8699344262288</v>
      </c>
    </row>
    <row r="64" spans="1:14">
      <c r="A64">
        <f t="shared" si="2"/>
        <v>1963</v>
      </c>
      <c r="B64">
        <f t="shared" si="3"/>
        <v>744</v>
      </c>
      <c r="C64">
        <f ca="1">SUM(INDIRECT("TLG65_MONTHLYFNF!G"&amp;2+B64):INDIRECT("TLG65_MONTHLYFNF!G"&amp;13+B64))</f>
        <v>2041160</v>
      </c>
      <c r="D64">
        <f t="shared" ca="1" si="0"/>
        <v>2041.16</v>
      </c>
      <c r="J64">
        <v>1963</v>
      </c>
      <c r="K64">
        <v>2041.16</v>
      </c>
      <c r="L64">
        <v>75</v>
      </c>
      <c r="M64" s="8">
        <v>0.61475409836065575</v>
      </c>
      <c r="N64" s="9">
        <f t="shared" si="1"/>
        <v>1886.8699344262288</v>
      </c>
    </row>
    <row r="65" spans="1:14">
      <c r="A65">
        <f t="shared" si="2"/>
        <v>1964</v>
      </c>
      <c r="B65">
        <f t="shared" si="3"/>
        <v>756</v>
      </c>
      <c r="C65">
        <f ca="1">SUM(INDIRECT("TLG65_MONTHLYFNF!G"&amp;2+B65):INDIRECT("TLG65_MONTHLYFNF!G"&amp;13+B65))</f>
        <v>1130280</v>
      </c>
      <c r="D65">
        <f t="shared" ca="1" si="0"/>
        <v>1130.28</v>
      </c>
      <c r="J65">
        <v>1964</v>
      </c>
      <c r="K65">
        <v>1130.28</v>
      </c>
      <c r="L65">
        <v>36</v>
      </c>
      <c r="M65" s="8">
        <v>0.29508196721311475</v>
      </c>
      <c r="N65" s="9">
        <f t="shared" si="1"/>
        <v>1886.8699344262288</v>
      </c>
    </row>
    <row r="66" spans="1:14">
      <c r="A66">
        <f t="shared" si="2"/>
        <v>1965</v>
      </c>
      <c r="B66">
        <f t="shared" si="3"/>
        <v>768</v>
      </c>
      <c r="C66">
        <f ca="1">SUM(INDIRECT("TLG65_MONTHLYFNF!G"&amp;2+B66):INDIRECT("TLG65_MONTHLYFNF!G"&amp;13+B66))</f>
        <v>2738370</v>
      </c>
      <c r="D66">
        <f t="shared" ca="1" si="0"/>
        <v>2738.37</v>
      </c>
      <c r="J66">
        <v>1965</v>
      </c>
      <c r="K66">
        <v>2738.37</v>
      </c>
      <c r="L66">
        <v>100</v>
      </c>
      <c r="M66" s="8">
        <v>0.81967213114754101</v>
      </c>
      <c r="N66" s="9">
        <f t="shared" si="1"/>
        <v>1886.8699344262288</v>
      </c>
    </row>
    <row r="67" spans="1:14">
      <c r="A67">
        <f t="shared" si="2"/>
        <v>1966</v>
      </c>
      <c r="B67">
        <f t="shared" si="3"/>
        <v>780</v>
      </c>
      <c r="C67">
        <f ca="1">SUM(INDIRECT("TLG65_MONTHLYFNF!G"&amp;2+B67):INDIRECT("TLG65_MONTHLYFNF!G"&amp;13+B67))</f>
        <v>1306100</v>
      </c>
      <c r="D67">
        <f t="shared" ref="D67:D123" ca="1" si="4">C67/1000</f>
        <v>1306.0999999999999</v>
      </c>
      <c r="J67">
        <v>1966</v>
      </c>
      <c r="K67">
        <v>1306.0999999999999</v>
      </c>
      <c r="L67">
        <v>42</v>
      </c>
      <c r="M67" s="8">
        <v>0.34426229508196721</v>
      </c>
      <c r="N67" s="9">
        <f t="shared" si="1"/>
        <v>1886.8699344262288</v>
      </c>
    </row>
    <row r="68" spans="1:14">
      <c r="A68">
        <f t="shared" si="2"/>
        <v>1967</v>
      </c>
      <c r="B68">
        <f t="shared" si="3"/>
        <v>792</v>
      </c>
      <c r="C68">
        <f ca="1">SUM(INDIRECT("TLG65_MONTHLYFNF!G"&amp;2+B68):INDIRECT("TLG65_MONTHLYFNF!G"&amp;13+B68))</f>
        <v>3104610</v>
      </c>
      <c r="D68">
        <f t="shared" ca="1" si="4"/>
        <v>3104.61</v>
      </c>
      <c r="J68">
        <v>1967</v>
      </c>
      <c r="K68">
        <v>3104.61</v>
      </c>
      <c r="L68">
        <v>108</v>
      </c>
      <c r="M68" s="8">
        <v>0.88524590163934425</v>
      </c>
      <c r="N68" s="9">
        <f t="shared" ref="N68:N123" si="5">N67</f>
        <v>1886.8699344262288</v>
      </c>
    </row>
    <row r="69" spans="1:14">
      <c r="A69">
        <f t="shared" ref="A69:A123" si="6">A68+1</f>
        <v>1968</v>
      </c>
      <c r="B69">
        <f t="shared" ref="B69:B123" si="7">B68+12</f>
        <v>804</v>
      </c>
      <c r="C69">
        <f ca="1">SUM(INDIRECT("TLG65_MONTHLYFNF!G"&amp;2+B69):INDIRECT("TLG65_MONTHLYFNF!G"&amp;13+B69))</f>
        <v>1006630</v>
      </c>
      <c r="D69">
        <f t="shared" ca="1" si="4"/>
        <v>1006.63</v>
      </c>
      <c r="J69">
        <v>1968</v>
      </c>
      <c r="K69">
        <v>1006.63</v>
      </c>
      <c r="L69">
        <v>21</v>
      </c>
      <c r="M69" s="8">
        <v>0.1721311475409836</v>
      </c>
      <c r="N69" s="9">
        <f t="shared" si="5"/>
        <v>1886.8699344262288</v>
      </c>
    </row>
    <row r="70" spans="1:14">
      <c r="A70">
        <f t="shared" si="6"/>
        <v>1969</v>
      </c>
      <c r="B70">
        <f t="shared" si="7"/>
        <v>816</v>
      </c>
      <c r="C70">
        <f ca="1">SUM(INDIRECT("TLG65_MONTHLYFNF!G"&amp;2+B70):INDIRECT("TLG65_MONTHLYFNF!G"&amp;13+B70))</f>
        <v>3852260</v>
      </c>
      <c r="D70">
        <f t="shared" ca="1" si="4"/>
        <v>3852.26</v>
      </c>
      <c r="J70">
        <v>1969</v>
      </c>
      <c r="K70">
        <v>3852.26</v>
      </c>
      <c r="L70">
        <v>119</v>
      </c>
      <c r="M70" s="8">
        <v>0.97540983606557374</v>
      </c>
      <c r="N70" s="9">
        <f t="shared" si="5"/>
        <v>1886.8699344262288</v>
      </c>
    </row>
    <row r="71" spans="1:14">
      <c r="A71">
        <f t="shared" si="6"/>
        <v>1970</v>
      </c>
      <c r="B71">
        <f t="shared" si="7"/>
        <v>828</v>
      </c>
      <c r="C71">
        <f ca="1">SUM(INDIRECT("TLG65_MONTHLYFNF!G"&amp;2+B71):INDIRECT("TLG65_MONTHLYFNF!G"&amp;13+B71))</f>
        <v>1962381</v>
      </c>
      <c r="D71">
        <f t="shared" ca="1" si="4"/>
        <v>1962.3810000000001</v>
      </c>
      <c r="J71">
        <v>1970</v>
      </c>
      <c r="K71">
        <v>1962.3810000000001</v>
      </c>
      <c r="L71">
        <v>69</v>
      </c>
      <c r="M71" s="8">
        <v>0.56557377049180324</v>
      </c>
      <c r="N71" s="9">
        <f t="shared" si="5"/>
        <v>1886.8699344262288</v>
      </c>
    </row>
    <row r="72" spans="1:14">
      <c r="A72">
        <f t="shared" si="6"/>
        <v>1971</v>
      </c>
      <c r="B72">
        <f t="shared" si="7"/>
        <v>840</v>
      </c>
      <c r="C72">
        <f ca="1">SUM(INDIRECT("TLG65_MONTHLYFNF!G"&amp;2+B72):INDIRECT("TLG65_MONTHLYFNF!G"&amp;13+B72))</f>
        <v>1683134</v>
      </c>
      <c r="D72">
        <f t="shared" ca="1" si="4"/>
        <v>1683.134</v>
      </c>
      <c r="J72">
        <v>1971</v>
      </c>
      <c r="K72">
        <v>1683.134</v>
      </c>
      <c r="L72">
        <v>60</v>
      </c>
      <c r="M72" s="8">
        <v>0.49180327868852458</v>
      </c>
      <c r="N72" s="9">
        <f t="shared" si="5"/>
        <v>1886.8699344262288</v>
      </c>
    </row>
    <row r="73" spans="1:14">
      <c r="A73">
        <f t="shared" si="6"/>
        <v>1972</v>
      </c>
      <c r="B73">
        <f t="shared" si="7"/>
        <v>852</v>
      </c>
      <c r="C73">
        <f ca="1">SUM(INDIRECT("TLG65_MONTHLYFNF!G"&amp;2+B73):INDIRECT("TLG65_MONTHLYFNF!G"&amp;13+B73))</f>
        <v>1206612</v>
      </c>
      <c r="D73">
        <f t="shared" ca="1" si="4"/>
        <v>1206.6120000000001</v>
      </c>
      <c r="J73">
        <v>1972</v>
      </c>
      <c r="K73">
        <v>1206.6120000000001</v>
      </c>
      <c r="L73">
        <v>38</v>
      </c>
      <c r="M73" s="8">
        <v>0.31147540983606559</v>
      </c>
      <c r="N73" s="9">
        <f t="shared" si="5"/>
        <v>1886.8699344262288</v>
      </c>
    </row>
    <row r="74" spans="1:14">
      <c r="A74">
        <f t="shared" si="6"/>
        <v>1973</v>
      </c>
      <c r="B74">
        <f t="shared" si="7"/>
        <v>864</v>
      </c>
      <c r="C74">
        <f ca="1">SUM(INDIRECT("TLG65_MONTHLYFNF!G"&amp;2+B74):INDIRECT("TLG65_MONTHLYFNF!G"&amp;13+B74))</f>
        <v>2030696</v>
      </c>
      <c r="D74">
        <f t="shared" ca="1" si="4"/>
        <v>2030.6959999999999</v>
      </c>
      <c r="J74">
        <v>1973</v>
      </c>
      <c r="K74">
        <v>2030.6959999999999</v>
      </c>
      <c r="L74">
        <v>73</v>
      </c>
      <c r="M74" s="8">
        <v>0.59836065573770492</v>
      </c>
      <c r="N74" s="9">
        <f t="shared" si="5"/>
        <v>1886.8699344262288</v>
      </c>
    </row>
    <row r="75" spans="1:14">
      <c r="A75">
        <f t="shared" si="6"/>
        <v>1974</v>
      </c>
      <c r="B75">
        <f t="shared" si="7"/>
        <v>876</v>
      </c>
      <c r="C75">
        <f ca="1">SUM(INDIRECT("TLG65_MONTHLYFNF!G"&amp;2+B75):INDIRECT("TLG65_MONTHLYFNF!G"&amp;13+B75))</f>
        <v>2238900</v>
      </c>
      <c r="D75">
        <f t="shared" ca="1" si="4"/>
        <v>2238.9</v>
      </c>
      <c r="J75">
        <v>1974</v>
      </c>
      <c r="K75">
        <v>2238.9</v>
      </c>
      <c r="L75">
        <v>86</v>
      </c>
      <c r="M75" s="8">
        <v>0.70491803278688525</v>
      </c>
      <c r="N75" s="9">
        <f t="shared" si="5"/>
        <v>1886.8699344262288</v>
      </c>
    </row>
    <row r="76" spans="1:14">
      <c r="A76">
        <f t="shared" si="6"/>
        <v>1975</v>
      </c>
      <c r="B76">
        <f t="shared" si="7"/>
        <v>888</v>
      </c>
      <c r="C76">
        <f ca="1">SUM(INDIRECT("TLG65_MONTHLYFNF!G"&amp;2+B76):INDIRECT("TLG65_MONTHLYFNF!G"&amp;13+B76))</f>
        <v>2032671</v>
      </c>
      <c r="D76">
        <f t="shared" ca="1" si="4"/>
        <v>2032.671</v>
      </c>
      <c r="J76">
        <v>1975</v>
      </c>
      <c r="K76">
        <v>2032.671</v>
      </c>
      <c r="L76">
        <v>74</v>
      </c>
      <c r="M76" s="8">
        <v>0.60655737704918034</v>
      </c>
      <c r="N76" s="9">
        <f t="shared" si="5"/>
        <v>1886.8699344262288</v>
      </c>
    </row>
    <row r="77" spans="1:14">
      <c r="A77">
        <f t="shared" si="6"/>
        <v>1976</v>
      </c>
      <c r="B77">
        <f t="shared" si="7"/>
        <v>900</v>
      </c>
      <c r="C77">
        <f ca="1">SUM(INDIRECT("TLG65_MONTHLYFNF!G"&amp;2+B77):INDIRECT("TLG65_MONTHLYFNF!G"&amp;13+B77))</f>
        <v>670598</v>
      </c>
      <c r="D77">
        <f t="shared" ca="1" si="4"/>
        <v>670.59799999999996</v>
      </c>
      <c r="J77">
        <v>1976</v>
      </c>
      <c r="K77">
        <v>670.59799999999996</v>
      </c>
      <c r="L77">
        <v>8</v>
      </c>
      <c r="M77" s="8">
        <v>6.5573770491803282E-2</v>
      </c>
      <c r="N77" s="9">
        <f t="shared" si="5"/>
        <v>1886.8699344262288</v>
      </c>
    </row>
    <row r="78" spans="1:14">
      <c r="A78">
        <f t="shared" si="6"/>
        <v>1977</v>
      </c>
      <c r="B78">
        <f t="shared" si="7"/>
        <v>912</v>
      </c>
      <c r="C78">
        <f ca="1">SUM(INDIRECT("TLG65_MONTHLYFNF!G"&amp;2+B78):INDIRECT("TLG65_MONTHLYFNF!G"&amp;13+B78))</f>
        <v>382661</v>
      </c>
      <c r="D78">
        <f t="shared" ca="1" si="4"/>
        <v>382.661</v>
      </c>
      <c r="J78">
        <v>1977</v>
      </c>
      <c r="K78">
        <v>382.661</v>
      </c>
      <c r="L78">
        <v>1</v>
      </c>
      <c r="M78" s="8">
        <v>8.1967213114754103E-3</v>
      </c>
      <c r="N78" s="9">
        <f t="shared" si="5"/>
        <v>1886.8699344262288</v>
      </c>
    </row>
    <row r="79" spans="1:14">
      <c r="A79">
        <f t="shared" si="6"/>
        <v>1978</v>
      </c>
      <c r="B79">
        <f t="shared" si="7"/>
        <v>924</v>
      </c>
      <c r="C79">
        <f ca="1">SUM(INDIRECT("TLG65_MONTHLYFNF!G"&amp;2+B79):INDIRECT("TLG65_MONTHLYFNF!G"&amp;13+B79))</f>
        <v>2902999</v>
      </c>
      <c r="D79">
        <f t="shared" ca="1" si="4"/>
        <v>2902.9989999999998</v>
      </c>
      <c r="J79">
        <v>1978</v>
      </c>
      <c r="K79">
        <v>2902.9989999999998</v>
      </c>
      <c r="L79">
        <v>101</v>
      </c>
      <c r="M79" s="8">
        <v>0.82786885245901642</v>
      </c>
      <c r="N79" s="9">
        <f t="shared" si="5"/>
        <v>1886.8699344262288</v>
      </c>
    </row>
    <row r="80" spans="1:14">
      <c r="A80">
        <f t="shared" si="6"/>
        <v>1979</v>
      </c>
      <c r="B80">
        <f t="shared" si="7"/>
        <v>936</v>
      </c>
      <c r="C80">
        <f ca="1">SUM(INDIRECT("TLG65_MONTHLYFNF!G"&amp;2+B80):INDIRECT("TLG65_MONTHLYFNF!G"&amp;13+B80))</f>
        <v>1913644</v>
      </c>
      <c r="D80">
        <f t="shared" ca="1" si="4"/>
        <v>1913.644</v>
      </c>
      <c r="J80">
        <v>1979</v>
      </c>
      <c r="K80">
        <v>1913.644</v>
      </c>
      <c r="L80">
        <v>67</v>
      </c>
      <c r="M80" s="8">
        <v>0.54918032786885251</v>
      </c>
      <c r="N80" s="9">
        <f t="shared" si="5"/>
        <v>1886.8699344262288</v>
      </c>
    </row>
    <row r="81" spans="1:14">
      <c r="A81">
        <f t="shared" si="6"/>
        <v>1980</v>
      </c>
      <c r="B81">
        <f t="shared" si="7"/>
        <v>948</v>
      </c>
      <c r="C81">
        <f ca="1">SUM(INDIRECT("TLG65_MONTHLYFNF!G"&amp;2+B81):INDIRECT("TLG65_MONTHLYFNF!G"&amp;13+B81))</f>
        <v>3045133</v>
      </c>
      <c r="D81">
        <f t="shared" ca="1" si="4"/>
        <v>3045.1329999999998</v>
      </c>
      <c r="J81">
        <v>1980</v>
      </c>
      <c r="K81">
        <v>3045.1329999999998</v>
      </c>
      <c r="L81">
        <v>107</v>
      </c>
      <c r="M81" s="8">
        <v>0.87704918032786883</v>
      </c>
      <c r="N81" s="9">
        <f t="shared" si="5"/>
        <v>1886.8699344262288</v>
      </c>
    </row>
    <row r="82" spans="1:14">
      <c r="A82">
        <f t="shared" si="6"/>
        <v>1981</v>
      </c>
      <c r="B82">
        <f t="shared" si="7"/>
        <v>960</v>
      </c>
      <c r="C82">
        <f ca="1">SUM(INDIRECT("TLG65_MONTHLYFNF!G"&amp;2+B82):INDIRECT("TLG65_MONTHLYFNF!G"&amp;13+B82))</f>
        <v>1055516</v>
      </c>
      <c r="D82">
        <f t="shared" ca="1" si="4"/>
        <v>1055.5160000000001</v>
      </c>
      <c r="J82">
        <v>1981</v>
      </c>
      <c r="K82">
        <v>1055.5160000000001</v>
      </c>
      <c r="L82">
        <v>26</v>
      </c>
      <c r="M82" s="8">
        <v>0.21311475409836064</v>
      </c>
      <c r="N82" s="9">
        <f t="shared" si="5"/>
        <v>1886.8699344262288</v>
      </c>
    </row>
    <row r="83" spans="1:14">
      <c r="A83">
        <f t="shared" si="6"/>
        <v>1982</v>
      </c>
      <c r="B83">
        <f t="shared" si="7"/>
        <v>972</v>
      </c>
      <c r="C83">
        <f ca="1">SUM(INDIRECT("TLG65_MONTHLYFNF!G"&amp;2+B83):INDIRECT("TLG65_MONTHLYFNF!G"&amp;13+B83))</f>
        <v>3805777</v>
      </c>
      <c r="D83">
        <f t="shared" ca="1" si="4"/>
        <v>3805.777</v>
      </c>
      <c r="J83">
        <v>1982</v>
      </c>
      <c r="K83">
        <v>3805.777</v>
      </c>
      <c r="L83">
        <v>118</v>
      </c>
      <c r="M83" s="8">
        <v>0.96721311475409832</v>
      </c>
      <c r="N83" s="9">
        <f t="shared" si="5"/>
        <v>1886.8699344262288</v>
      </c>
    </row>
    <row r="84" spans="1:14">
      <c r="A84">
        <f t="shared" si="6"/>
        <v>1983</v>
      </c>
      <c r="B84">
        <f t="shared" si="7"/>
        <v>984</v>
      </c>
      <c r="C84">
        <f ca="1">SUM(INDIRECT("TLG65_MONTHLYFNF!G"&amp;2+B84):INDIRECT("TLG65_MONTHLYFNF!G"&amp;13+B84))</f>
        <v>4631399</v>
      </c>
      <c r="D84">
        <f t="shared" ca="1" si="4"/>
        <v>4631.3990000000003</v>
      </c>
      <c r="J84">
        <v>1983</v>
      </c>
      <c r="K84">
        <v>4631.3990000000003</v>
      </c>
      <c r="L84">
        <v>121</v>
      </c>
      <c r="M84" s="8">
        <v>0.99180327868852458</v>
      </c>
      <c r="N84" s="9">
        <f t="shared" si="5"/>
        <v>1886.8699344262288</v>
      </c>
    </row>
    <row r="85" spans="1:14">
      <c r="A85">
        <f t="shared" si="6"/>
        <v>1984</v>
      </c>
      <c r="B85">
        <f t="shared" si="7"/>
        <v>996</v>
      </c>
      <c r="C85">
        <f ca="1">SUM(INDIRECT("TLG65_MONTHLYFNF!G"&amp;2+B85):INDIRECT("TLG65_MONTHLYFNF!G"&amp;13+B85))</f>
        <v>2470768</v>
      </c>
      <c r="D85">
        <f t="shared" ca="1" si="4"/>
        <v>2470.768</v>
      </c>
      <c r="J85">
        <v>1984</v>
      </c>
      <c r="K85">
        <v>2470.768</v>
      </c>
      <c r="L85">
        <v>91</v>
      </c>
      <c r="M85" s="8">
        <v>0.74590163934426235</v>
      </c>
      <c r="N85" s="9">
        <f t="shared" si="5"/>
        <v>1886.8699344262288</v>
      </c>
    </row>
    <row r="86" spans="1:14">
      <c r="A86">
        <f t="shared" si="6"/>
        <v>1985</v>
      </c>
      <c r="B86">
        <f t="shared" si="7"/>
        <v>1008</v>
      </c>
      <c r="C86">
        <f ca="1">SUM(INDIRECT("TLG65_MONTHLYFNF!G"&amp;2+B86):INDIRECT("TLG65_MONTHLYFNF!G"&amp;13+B86))</f>
        <v>1228613</v>
      </c>
      <c r="D86">
        <f t="shared" ca="1" si="4"/>
        <v>1228.6130000000001</v>
      </c>
      <c r="J86">
        <v>1985</v>
      </c>
      <c r="K86">
        <v>1228.6130000000001</v>
      </c>
      <c r="L86">
        <v>39</v>
      </c>
      <c r="M86" s="8">
        <v>0.31967213114754101</v>
      </c>
      <c r="N86" s="9">
        <f t="shared" si="5"/>
        <v>1886.8699344262288</v>
      </c>
    </row>
    <row r="87" spans="1:14">
      <c r="A87">
        <f t="shared" si="6"/>
        <v>1986</v>
      </c>
      <c r="B87">
        <f t="shared" si="7"/>
        <v>1020</v>
      </c>
      <c r="C87">
        <f ca="1">SUM(INDIRECT("TLG65_MONTHLYFNF!G"&amp;2+B87):INDIRECT("TLG65_MONTHLYFNF!G"&amp;13+B87))</f>
        <v>2970896</v>
      </c>
      <c r="D87">
        <f t="shared" ca="1" si="4"/>
        <v>2970.8960000000002</v>
      </c>
      <c r="J87">
        <v>1986</v>
      </c>
      <c r="K87">
        <v>2970.8960000000002</v>
      </c>
      <c r="L87">
        <v>103</v>
      </c>
      <c r="M87" s="8">
        <v>0.84426229508196726</v>
      </c>
      <c r="N87" s="9">
        <f t="shared" si="5"/>
        <v>1886.8699344262288</v>
      </c>
    </row>
    <row r="88" spans="1:14">
      <c r="A88">
        <f t="shared" si="6"/>
        <v>1987</v>
      </c>
      <c r="B88">
        <f t="shared" si="7"/>
        <v>1032</v>
      </c>
      <c r="C88">
        <f ca="1">SUM(INDIRECT("TLG65_MONTHLYFNF!G"&amp;2+B88):INDIRECT("TLG65_MONTHLYFNF!G"&amp;13+B88))</f>
        <v>655591</v>
      </c>
      <c r="D88">
        <f t="shared" ca="1" si="4"/>
        <v>655.59100000000001</v>
      </c>
      <c r="J88">
        <v>1987</v>
      </c>
      <c r="K88">
        <v>655.59100000000001</v>
      </c>
      <c r="L88">
        <v>7</v>
      </c>
      <c r="M88" s="8">
        <v>5.737704918032787E-2</v>
      </c>
      <c r="N88" s="9">
        <f t="shared" si="5"/>
        <v>1886.8699344262288</v>
      </c>
    </row>
    <row r="89" spans="1:14">
      <c r="A89">
        <f t="shared" si="6"/>
        <v>1988</v>
      </c>
      <c r="B89">
        <f t="shared" si="7"/>
        <v>1044</v>
      </c>
      <c r="C89">
        <f ca="1">SUM(INDIRECT("TLG65_MONTHLYFNF!G"&amp;2+B89):INDIRECT("TLG65_MONTHLYFNF!G"&amp;13+B89))</f>
        <v>820850</v>
      </c>
      <c r="D89">
        <f t="shared" ca="1" si="4"/>
        <v>820.85</v>
      </c>
      <c r="J89">
        <v>1988</v>
      </c>
      <c r="K89">
        <v>820.85</v>
      </c>
      <c r="L89">
        <v>11</v>
      </c>
      <c r="M89" s="8">
        <v>9.0163934426229511E-2</v>
      </c>
      <c r="N89" s="9">
        <f t="shared" si="5"/>
        <v>1886.8699344262288</v>
      </c>
    </row>
    <row r="90" spans="1:14">
      <c r="A90">
        <f t="shared" si="6"/>
        <v>1989</v>
      </c>
      <c r="B90">
        <f t="shared" si="7"/>
        <v>1056</v>
      </c>
      <c r="C90">
        <f ca="1">SUM(INDIRECT("TLG65_MONTHLYFNF!G"&amp;2+B90):INDIRECT("TLG65_MONTHLYFNF!G"&amp;13+B90))</f>
        <v>1311907</v>
      </c>
      <c r="D90">
        <f t="shared" ca="1" si="4"/>
        <v>1311.9069999999999</v>
      </c>
      <c r="J90">
        <v>1989</v>
      </c>
      <c r="K90">
        <v>1311.9069999999999</v>
      </c>
      <c r="L90">
        <v>43</v>
      </c>
      <c r="M90" s="8">
        <v>0.35245901639344263</v>
      </c>
      <c r="N90" s="9">
        <f t="shared" si="5"/>
        <v>1886.8699344262288</v>
      </c>
    </row>
    <row r="91" spans="1:14">
      <c r="A91">
        <f t="shared" si="6"/>
        <v>1990</v>
      </c>
      <c r="B91">
        <f t="shared" si="7"/>
        <v>1068</v>
      </c>
      <c r="C91">
        <f ca="1">SUM(INDIRECT("TLG65_MONTHLYFNF!G"&amp;2+B91):INDIRECT("TLG65_MONTHLYFNF!G"&amp;13+B91))</f>
        <v>842591</v>
      </c>
      <c r="D91">
        <f t="shared" ca="1" si="4"/>
        <v>842.59100000000001</v>
      </c>
      <c r="J91">
        <v>1990</v>
      </c>
      <c r="K91">
        <v>842.59100000000001</v>
      </c>
      <c r="L91">
        <v>13</v>
      </c>
      <c r="M91" s="8">
        <v>0.10655737704918032</v>
      </c>
      <c r="N91" s="9">
        <f t="shared" si="5"/>
        <v>1886.8699344262288</v>
      </c>
    </row>
    <row r="92" spans="1:14">
      <c r="A92">
        <f t="shared" si="6"/>
        <v>1991</v>
      </c>
      <c r="B92">
        <f t="shared" si="7"/>
        <v>1080</v>
      </c>
      <c r="C92">
        <f ca="1">SUM(INDIRECT("TLG65_MONTHLYFNF!G"&amp;2+B92):INDIRECT("TLG65_MONTHLYFNF!G"&amp;13+B92))</f>
        <v>1099079</v>
      </c>
      <c r="D92">
        <f t="shared" ca="1" si="4"/>
        <v>1099.079</v>
      </c>
      <c r="J92">
        <v>1991</v>
      </c>
      <c r="K92">
        <v>1099.079</v>
      </c>
      <c r="L92">
        <v>31</v>
      </c>
      <c r="M92" s="8">
        <v>0.25409836065573771</v>
      </c>
      <c r="N92" s="9">
        <f t="shared" si="5"/>
        <v>1886.8699344262288</v>
      </c>
    </row>
    <row r="93" spans="1:14">
      <c r="A93">
        <f t="shared" si="6"/>
        <v>1992</v>
      </c>
      <c r="B93">
        <f t="shared" si="7"/>
        <v>1092</v>
      </c>
      <c r="C93">
        <f ca="1">SUM(INDIRECT("TLG65_MONTHLYFNF!G"&amp;2+B93):INDIRECT("TLG65_MONTHLYFNF!G"&amp;13+B93))</f>
        <v>835020</v>
      </c>
      <c r="D93">
        <f t="shared" ca="1" si="4"/>
        <v>835.02</v>
      </c>
      <c r="J93">
        <v>1992</v>
      </c>
      <c r="K93">
        <v>835.02</v>
      </c>
      <c r="L93">
        <v>12</v>
      </c>
      <c r="M93" s="8">
        <v>9.8360655737704916E-2</v>
      </c>
      <c r="N93" s="9">
        <f t="shared" si="5"/>
        <v>1886.8699344262288</v>
      </c>
    </row>
    <row r="94" spans="1:14">
      <c r="A94">
        <f t="shared" si="6"/>
        <v>1993</v>
      </c>
      <c r="B94">
        <f t="shared" si="7"/>
        <v>1104</v>
      </c>
      <c r="C94">
        <f ca="1">SUM(INDIRECT("TLG65_MONTHLYFNF!G"&amp;2+B94):INDIRECT("TLG65_MONTHLYFNF!G"&amp;13+B94))</f>
        <v>2623560</v>
      </c>
      <c r="D94">
        <f t="shared" ca="1" si="4"/>
        <v>2623.56</v>
      </c>
      <c r="J94">
        <v>1993</v>
      </c>
      <c r="K94">
        <v>2623.56</v>
      </c>
      <c r="L94">
        <v>96</v>
      </c>
      <c r="M94" s="8">
        <v>0.78688524590163933</v>
      </c>
      <c r="N94" s="9">
        <f t="shared" si="5"/>
        <v>1886.8699344262288</v>
      </c>
    </row>
    <row r="95" spans="1:14">
      <c r="A95">
        <f t="shared" si="6"/>
        <v>1994</v>
      </c>
      <c r="B95">
        <f t="shared" si="7"/>
        <v>1116</v>
      </c>
      <c r="C95">
        <f ca="1">SUM(INDIRECT("TLG65_MONTHLYFNF!G"&amp;2+B95):INDIRECT("TLG65_MONTHLYFNF!G"&amp;13+B95))</f>
        <v>884685</v>
      </c>
      <c r="D95">
        <f t="shared" ca="1" si="4"/>
        <v>884.68499999999995</v>
      </c>
      <c r="J95">
        <v>1994</v>
      </c>
      <c r="K95">
        <v>884.68499999999995</v>
      </c>
      <c r="L95">
        <v>16</v>
      </c>
      <c r="M95" s="8">
        <v>0.13114754098360656</v>
      </c>
      <c r="N95" s="9">
        <f t="shared" si="5"/>
        <v>1886.8699344262288</v>
      </c>
    </row>
    <row r="96" spans="1:14">
      <c r="A96">
        <f t="shared" si="6"/>
        <v>1995</v>
      </c>
      <c r="B96">
        <f t="shared" si="7"/>
        <v>1128</v>
      </c>
      <c r="C96">
        <f ca="1">SUM(INDIRECT("TLG65_MONTHLYFNF!G"&amp;2+B96):INDIRECT("TLG65_MONTHLYFNF!G"&amp;13+B96))</f>
        <v>3921805</v>
      </c>
      <c r="D96">
        <f t="shared" ca="1" si="4"/>
        <v>3921.8049999999998</v>
      </c>
      <c r="J96">
        <v>1995</v>
      </c>
      <c r="K96">
        <v>3921.8049999999998</v>
      </c>
      <c r="L96">
        <v>120</v>
      </c>
      <c r="M96" s="8">
        <v>0.98360655737704916</v>
      </c>
      <c r="N96" s="9">
        <f t="shared" si="5"/>
        <v>1886.8699344262288</v>
      </c>
    </row>
    <row r="97" spans="1:14">
      <c r="A97">
        <f t="shared" si="6"/>
        <v>1996</v>
      </c>
      <c r="B97">
        <f t="shared" si="7"/>
        <v>1140</v>
      </c>
      <c r="C97">
        <f ca="1">SUM(INDIRECT("TLG65_MONTHLYFNF!G"&amp;2+B97):INDIRECT("TLG65_MONTHLYFNF!G"&amp;13+B97))</f>
        <v>2316317</v>
      </c>
      <c r="D97">
        <f t="shared" ca="1" si="4"/>
        <v>2316.317</v>
      </c>
      <c r="J97">
        <v>1996</v>
      </c>
      <c r="K97">
        <v>2316.317</v>
      </c>
      <c r="L97">
        <v>87</v>
      </c>
      <c r="M97" s="8">
        <v>0.71311475409836067</v>
      </c>
      <c r="N97" s="9">
        <f t="shared" si="5"/>
        <v>1886.8699344262288</v>
      </c>
    </row>
    <row r="98" spans="1:14">
      <c r="A98">
        <f t="shared" si="6"/>
        <v>1997</v>
      </c>
      <c r="B98">
        <f t="shared" si="7"/>
        <v>1152</v>
      </c>
      <c r="C98">
        <f ca="1">SUM(INDIRECT("TLG65_MONTHLYFNF!G"&amp;2+B98):INDIRECT("TLG65_MONTHLYFNF!G"&amp;13+B98))</f>
        <v>3223699</v>
      </c>
      <c r="D98">
        <f t="shared" ca="1" si="4"/>
        <v>3223.6990000000001</v>
      </c>
      <c r="J98">
        <v>1997</v>
      </c>
      <c r="K98">
        <v>3223.6990000000001</v>
      </c>
      <c r="L98">
        <v>110</v>
      </c>
      <c r="M98" s="8">
        <v>0.90163934426229508</v>
      </c>
      <c r="N98" s="9">
        <f t="shared" si="5"/>
        <v>1886.8699344262288</v>
      </c>
    </row>
    <row r="99" spans="1:14">
      <c r="A99">
        <f t="shared" si="6"/>
        <v>1998</v>
      </c>
      <c r="B99">
        <f t="shared" si="7"/>
        <v>1164</v>
      </c>
      <c r="C99">
        <f ca="1">SUM(INDIRECT("TLG65_MONTHLYFNF!G"&amp;2+B99):INDIRECT("TLG65_MONTHLYFNF!G"&amp;13+B99))</f>
        <v>3338330</v>
      </c>
      <c r="D99">
        <f t="shared" ca="1" si="4"/>
        <v>3338.33</v>
      </c>
      <c r="J99">
        <v>1998</v>
      </c>
      <c r="K99">
        <v>3338.33</v>
      </c>
      <c r="L99">
        <v>112</v>
      </c>
      <c r="M99" s="8">
        <v>0.91803278688524592</v>
      </c>
      <c r="N99" s="9">
        <f t="shared" si="5"/>
        <v>1886.8699344262288</v>
      </c>
    </row>
    <row r="100" spans="1:14">
      <c r="A100">
        <f t="shared" si="6"/>
        <v>1999</v>
      </c>
      <c r="B100">
        <f t="shared" si="7"/>
        <v>1176</v>
      </c>
      <c r="C100">
        <f ca="1">SUM(INDIRECT("TLG65_MONTHLYFNF!G"&amp;2+B100):INDIRECT("TLG65_MONTHLYFNF!G"&amp;13+B100))</f>
        <v>2127406</v>
      </c>
      <c r="D100">
        <f t="shared" ca="1" si="4"/>
        <v>2127.4059999999999</v>
      </c>
      <c r="J100">
        <v>1999</v>
      </c>
      <c r="K100">
        <v>2127.4059999999999</v>
      </c>
      <c r="L100">
        <v>81</v>
      </c>
      <c r="M100" s="8">
        <v>0.66393442622950816</v>
      </c>
      <c r="N100" s="9">
        <f t="shared" si="5"/>
        <v>1886.8699344262288</v>
      </c>
    </row>
    <row r="101" spans="1:14">
      <c r="A101">
        <f t="shared" si="6"/>
        <v>2000</v>
      </c>
      <c r="B101">
        <f t="shared" si="7"/>
        <v>1188</v>
      </c>
      <c r="C101">
        <f ca="1">SUM(INDIRECT("TLG65_MONTHLYFNF!G"&amp;2+B101):INDIRECT("TLG65_MONTHLYFNF!G"&amp;13+B101))</f>
        <v>2019248</v>
      </c>
      <c r="D101">
        <f t="shared" ca="1" si="4"/>
        <v>2019.248</v>
      </c>
      <c r="J101">
        <v>2000</v>
      </c>
      <c r="K101">
        <v>2019.248</v>
      </c>
      <c r="L101">
        <v>72</v>
      </c>
      <c r="M101" s="8">
        <v>0.5901639344262295</v>
      </c>
      <c r="N101" s="9">
        <f t="shared" si="5"/>
        <v>1886.8699344262288</v>
      </c>
    </row>
    <row r="102" spans="1:14">
      <c r="A102">
        <f t="shared" si="6"/>
        <v>2001</v>
      </c>
      <c r="B102">
        <f t="shared" si="7"/>
        <v>1200</v>
      </c>
      <c r="C102">
        <f ca="1">SUM(INDIRECT("TLG65_MONTHLYFNF!G"&amp;2+B102):INDIRECT("TLG65_MONTHLYFNF!G"&amp;13+B102))</f>
        <v>1033624</v>
      </c>
      <c r="D102">
        <f t="shared" ca="1" si="4"/>
        <v>1033.624</v>
      </c>
      <c r="J102">
        <v>2001</v>
      </c>
      <c r="K102">
        <v>1033.624</v>
      </c>
      <c r="L102">
        <v>23</v>
      </c>
      <c r="M102" s="8">
        <v>0.18852459016393441</v>
      </c>
      <c r="N102" s="9">
        <f t="shared" si="5"/>
        <v>1886.8699344262288</v>
      </c>
    </row>
    <row r="103" spans="1:14">
      <c r="A103">
        <f t="shared" si="6"/>
        <v>2002</v>
      </c>
      <c r="B103">
        <f t="shared" si="7"/>
        <v>1212</v>
      </c>
      <c r="C103">
        <f ca="1">SUM(INDIRECT("TLG65_MONTHLYFNF!G"&amp;2+B103):INDIRECT("TLG65_MONTHLYFNF!G"&amp;13+B103))</f>
        <v>1401470</v>
      </c>
      <c r="D103">
        <f t="shared" ca="1" si="4"/>
        <v>1401.47</v>
      </c>
      <c r="J103">
        <v>2002</v>
      </c>
      <c r="K103">
        <v>1401.47</v>
      </c>
      <c r="L103">
        <v>47</v>
      </c>
      <c r="M103" s="8">
        <v>0.38524590163934425</v>
      </c>
      <c r="N103" s="9">
        <f t="shared" si="5"/>
        <v>1886.8699344262288</v>
      </c>
    </row>
    <row r="104" spans="1:14">
      <c r="A104">
        <f t="shared" si="6"/>
        <v>2003</v>
      </c>
      <c r="B104">
        <f t="shared" si="7"/>
        <v>1224</v>
      </c>
      <c r="C104">
        <f ca="1">SUM(INDIRECT("TLG65_MONTHLYFNF!G"&amp;2+B104):INDIRECT("TLG65_MONTHLYFNF!G"&amp;13+B104))</f>
        <v>1627094</v>
      </c>
      <c r="D104">
        <f t="shared" ca="1" si="4"/>
        <v>1627.0940000000001</v>
      </c>
      <c r="J104">
        <v>2003</v>
      </c>
      <c r="K104">
        <v>1627.0940000000001</v>
      </c>
      <c r="L104">
        <v>56</v>
      </c>
      <c r="M104" s="8">
        <v>0.45901639344262296</v>
      </c>
      <c r="N104" s="9">
        <f t="shared" si="5"/>
        <v>1886.8699344262288</v>
      </c>
    </row>
    <row r="105" spans="1:14">
      <c r="A105">
        <f t="shared" si="6"/>
        <v>2004</v>
      </c>
      <c r="B105">
        <f t="shared" si="7"/>
        <v>1236</v>
      </c>
      <c r="C105">
        <f ca="1">SUM(INDIRECT("TLG65_MONTHLYFNF!G"&amp;2+B105):INDIRECT("TLG65_MONTHLYFNF!G"&amp;13+B105))</f>
        <v>1321123</v>
      </c>
      <c r="D105">
        <f t="shared" ca="1" si="4"/>
        <v>1321.123</v>
      </c>
      <c r="J105">
        <v>2004</v>
      </c>
      <c r="K105">
        <v>1321.123</v>
      </c>
      <c r="L105">
        <v>44</v>
      </c>
      <c r="M105" s="8">
        <v>0.36065573770491804</v>
      </c>
      <c r="N105" s="9">
        <f t="shared" si="5"/>
        <v>1886.8699344262288</v>
      </c>
    </row>
    <row r="106" spans="1:14">
      <c r="A106">
        <f t="shared" si="6"/>
        <v>2005</v>
      </c>
      <c r="B106">
        <f t="shared" si="7"/>
        <v>1248</v>
      </c>
      <c r="C106">
        <f ca="1">SUM(INDIRECT("TLG65_MONTHLYFNF!G"&amp;2+B106):INDIRECT("TLG65_MONTHLYFNF!G"&amp;13+B106))</f>
        <v>3005956</v>
      </c>
      <c r="D106">
        <f t="shared" ca="1" si="4"/>
        <v>3005.9560000000001</v>
      </c>
      <c r="J106">
        <v>2005</v>
      </c>
      <c r="K106">
        <v>3005.9560000000001</v>
      </c>
      <c r="L106">
        <v>106</v>
      </c>
      <c r="M106" s="8">
        <v>0.86885245901639341</v>
      </c>
      <c r="N106" s="9">
        <f t="shared" si="5"/>
        <v>1886.8699344262288</v>
      </c>
    </row>
    <row r="107" spans="1:14">
      <c r="A107">
        <f t="shared" si="6"/>
        <v>2006</v>
      </c>
      <c r="B107">
        <f t="shared" si="7"/>
        <v>1260</v>
      </c>
      <c r="C107">
        <f ca="1">SUM(INDIRECT("TLG65_MONTHLYFNF!G"&amp;2+B107):INDIRECT("TLG65_MONTHLYFNF!G"&amp;13+B107))</f>
        <v>3312910</v>
      </c>
      <c r="D107">
        <f t="shared" ca="1" si="4"/>
        <v>3312.91</v>
      </c>
      <c r="J107">
        <v>2006</v>
      </c>
      <c r="K107">
        <v>3312.91</v>
      </c>
      <c r="L107">
        <v>111</v>
      </c>
      <c r="M107" s="8">
        <v>0.9098360655737705</v>
      </c>
      <c r="N107" s="9">
        <f t="shared" si="5"/>
        <v>1886.8699344262288</v>
      </c>
    </row>
    <row r="108" spans="1:14">
      <c r="A108">
        <f t="shared" si="6"/>
        <v>2007</v>
      </c>
      <c r="B108">
        <f t="shared" si="7"/>
        <v>1272</v>
      </c>
      <c r="C108">
        <f ca="1">SUM(INDIRECT("TLG65_MONTHLYFNF!G"&amp;2+B108):INDIRECT("TLG65_MONTHLYFNF!G"&amp;13+B108))</f>
        <v>848668</v>
      </c>
      <c r="D108">
        <f t="shared" ca="1" si="4"/>
        <v>848.66800000000001</v>
      </c>
      <c r="J108">
        <v>2007</v>
      </c>
      <c r="K108">
        <v>848.66800000000001</v>
      </c>
      <c r="L108">
        <v>14</v>
      </c>
      <c r="M108" s="8">
        <v>0.11475409836065574</v>
      </c>
      <c r="N108" s="9">
        <f t="shared" si="5"/>
        <v>1886.8699344262288</v>
      </c>
    </row>
    <row r="109" spans="1:14">
      <c r="A109">
        <f t="shared" si="6"/>
        <v>2008</v>
      </c>
      <c r="B109">
        <f t="shared" si="7"/>
        <v>1284</v>
      </c>
      <c r="C109">
        <f ca="1">SUM(INDIRECT("TLG65_MONTHLYFNF!G"&amp;2+B109):INDIRECT("TLG65_MONTHLYFNF!G"&amp;13+B109))</f>
        <v>1128792</v>
      </c>
      <c r="D109">
        <f t="shared" ca="1" si="4"/>
        <v>1128.7919999999999</v>
      </c>
      <c r="J109">
        <v>2008</v>
      </c>
      <c r="K109">
        <v>1128.7919999999999</v>
      </c>
      <c r="L109">
        <v>35</v>
      </c>
      <c r="M109" s="8">
        <v>0.28688524590163933</v>
      </c>
      <c r="N109" s="9">
        <f t="shared" si="5"/>
        <v>1886.8699344262288</v>
      </c>
    </row>
    <row r="110" spans="1:14">
      <c r="A110">
        <f t="shared" si="6"/>
        <v>2009</v>
      </c>
      <c r="B110">
        <f t="shared" si="7"/>
        <v>1296</v>
      </c>
      <c r="C110">
        <f ca="1">SUM(INDIRECT("TLG65_MONTHLYFNF!G"&amp;2+B110):INDIRECT("TLG65_MONTHLYFNF!G"&amp;13+B110))</f>
        <v>1665107</v>
      </c>
      <c r="D110">
        <f t="shared" ca="1" si="4"/>
        <v>1665.107</v>
      </c>
      <c r="J110">
        <v>2009</v>
      </c>
      <c r="K110">
        <v>1665.107</v>
      </c>
      <c r="L110">
        <v>58</v>
      </c>
      <c r="M110" s="8">
        <v>0.47540983606557374</v>
      </c>
      <c r="N110" s="9">
        <f t="shared" si="5"/>
        <v>1886.8699344262288</v>
      </c>
    </row>
    <row r="111" spans="1:14">
      <c r="A111">
        <f t="shared" si="6"/>
        <v>2010</v>
      </c>
      <c r="B111">
        <f t="shared" si="7"/>
        <v>1308</v>
      </c>
      <c r="C111">
        <f ca="1">SUM(INDIRECT("TLG65_MONTHLYFNF!G"&amp;2+B111):INDIRECT("TLG65_MONTHLYFNF!G"&amp;13+B111))</f>
        <v>1887543</v>
      </c>
      <c r="D111">
        <f t="shared" ca="1" si="4"/>
        <v>1887.5429999999999</v>
      </c>
      <c r="J111">
        <v>2010</v>
      </c>
      <c r="K111">
        <v>1887.5429999999999</v>
      </c>
      <c r="L111">
        <v>66</v>
      </c>
      <c r="M111" s="8">
        <v>0.54098360655737709</v>
      </c>
      <c r="N111" s="9">
        <f t="shared" si="5"/>
        <v>1886.8699344262288</v>
      </c>
    </row>
    <row r="112" spans="1:14">
      <c r="A112">
        <f t="shared" si="6"/>
        <v>2011</v>
      </c>
      <c r="B112">
        <f t="shared" si="7"/>
        <v>1320</v>
      </c>
      <c r="C112">
        <f ca="1">SUM(INDIRECT("TLG65_MONTHLYFNF!G"&amp;2+B112):INDIRECT("TLG65_MONTHLYFNF!G"&amp;13+B112))</f>
        <v>3524254</v>
      </c>
      <c r="D112">
        <f t="shared" ca="1" si="4"/>
        <v>3524.2539999999999</v>
      </c>
      <c r="J112">
        <v>2011</v>
      </c>
      <c r="K112">
        <v>3524.2539999999999</v>
      </c>
      <c r="L112">
        <v>115</v>
      </c>
      <c r="M112" s="8">
        <v>0.94262295081967218</v>
      </c>
      <c r="N112" s="9">
        <f t="shared" si="5"/>
        <v>1886.8699344262288</v>
      </c>
    </row>
    <row r="113" spans="1:14">
      <c r="A113">
        <f t="shared" si="6"/>
        <v>2012</v>
      </c>
      <c r="B113">
        <f t="shared" si="7"/>
        <v>1332</v>
      </c>
      <c r="C113">
        <f ca="1">SUM(INDIRECT("TLG65_MONTHLYFNF!G"&amp;2+B113):INDIRECT("TLG65_MONTHLYFNF!G"&amp;13+B113))</f>
        <v>875469</v>
      </c>
      <c r="D113">
        <f t="shared" ca="1" si="4"/>
        <v>875.46900000000005</v>
      </c>
      <c r="J113">
        <v>2012</v>
      </c>
      <c r="K113">
        <v>875.46900000000005</v>
      </c>
      <c r="L113">
        <v>15</v>
      </c>
      <c r="M113" s="8">
        <v>0.12295081967213115</v>
      </c>
      <c r="N113" s="9">
        <f t="shared" si="5"/>
        <v>1886.8699344262288</v>
      </c>
    </row>
    <row r="114" spans="1:14">
      <c r="A114">
        <f t="shared" si="6"/>
        <v>2013</v>
      </c>
      <c r="B114">
        <f t="shared" si="7"/>
        <v>1344</v>
      </c>
      <c r="C114">
        <f ca="1">SUM(INDIRECT("TLG65_MONTHLYFNF!G"&amp;2+B114):INDIRECT("TLG65_MONTHLYFNF!G"&amp;13+B114))</f>
        <v>1087148</v>
      </c>
      <c r="D114">
        <f t="shared" ca="1" si="4"/>
        <v>1087.1479999999999</v>
      </c>
      <c r="J114">
        <v>2013</v>
      </c>
      <c r="K114">
        <v>1087.1479999999999</v>
      </c>
      <c r="L114">
        <v>29</v>
      </c>
      <c r="M114" s="8">
        <v>0.23770491803278687</v>
      </c>
      <c r="N114" s="9">
        <f t="shared" si="5"/>
        <v>1886.8699344262288</v>
      </c>
    </row>
    <row r="115" spans="1:14">
      <c r="A115">
        <f t="shared" si="6"/>
        <v>2014</v>
      </c>
      <c r="B115">
        <f t="shared" si="7"/>
        <v>1356</v>
      </c>
      <c r="C115">
        <f ca="1">SUM(INDIRECT("TLG65_MONTHLYFNF!G"&amp;2+B115):INDIRECT("TLG65_MONTHLYFNF!G"&amp;13+B115))</f>
        <v>600537</v>
      </c>
      <c r="D115">
        <f t="shared" ca="1" si="4"/>
        <v>600.53700000000003</v>
      </c>
      <c r="J115">
        <v>2014</v>
      </c>
      <c r="K115">
        <v>600.53700000000003</v>
      </c>
      <c r="L115">
        <v>4</v>
      </c>
      <c r="M115" s="8">
        <v>3.2786885245901641E-2</v>
      </c>
      <c r="N115" s="9">
        <f t="shared" si="5"/>
        <v>1886.8699344262288</v>
      </c>
    </row>
    <row r="116" spans="1:14">
      <c r="A116">
        <f t="shared" si="6"/>
        <v>2015</v>
      </c>
      <c r="B116">
        <f t="shared" si="7"/>
        <v>1368</v>
      </c>
      <c r="C116">
        <f ca="1">SUM(INDIRECT("TLG65_MONTHLYFNF!G"&amp;2+B116):INDIRECT("TLG65_MONTHLYFNF!G"&amp;13+B116))</f>
        <v>598858</v>
      </c>
      <c r="D116">
        <f t="shared" ca="1" si="4"/>
        <v>598.85799999999995</v>
      </c>
      <c r="J116">
        <v>2015</v>
      </c>
      <c r="K116">
        <v>598.85799999999995</v>
      </c>
      <c r="L116">
        <v>3</v>
      </c>
      <c r="M116" s="8">
        <v>2.4590163934426229E-2</v>
      </c>
      <c r="N116" s="9">
        <f t="shared" si="5"/>
        <v>1886.8699344262288</v>
      </c>
    </row>
    <row r="117" spans="1:14">
      <c r="A117">
        <f t="shared" si="6"/>
        <v>2016</v>
      </c>
      <c r="B117">
        <f t="shared" si="7"/>
        <v>1380</v>
      </c>
      <c r="C117">
        <f ca="1">SUM(INDIRECT("TLG65_MONTHLYFNF!G"&amp;2+B117):INDIRECT("TLG65_MONTHLYFNF!G"&amp;13+B117))</f>
        <v>1818619</v>
      </c>
      <c r="D117">
        <f t="shared" ca="1" si="4"/>
        <v>1818.6189999999999</v>
      </c>
      <c r="J117">
        <v>2016</v>
      </c>
      <c r="K117">
        <v>1818.6189999999999</v>
      </c>
      <c r="L117">
        <v>63</v>
      </c>
      <c r="M117" s="8">
        <v>0.51639344262295084</v>
      </c>
      <c r="N117" s="9">
        <f t="shared" si="5"/>
        <v>1886.8699344262288</v>
      </c>
    </row>
    <row r="118" spans="1:14">
      <c r="A118">
        <f t="shared" si="6"/>
        <v>2017</v>
      </c>
      <c r="B118">
        <f t="shared" si="7"/>
        <v>1392</v>
      </c>
      <c r="C118">
        <f ca="1">SUM(INDIRECT("TLG65_MONTHLYFNF!G"&amp;2+B118):INDIRECT("TLG65_MONTHLYFNF!G"&amp;13+B118))</f>
        <v>4862109</v>
      </c>
      <c r="D118">
        <f t="shared" ca="1" si="4"/>
        <v>4862.1090000000004</v>
      </c>
      <c r="J118">
        <v>2017</v>
      </c>
      <c r="K118">
        <v>4862.1090000000004</v>
      </c>
      <c r="L118">
        <v>122</v>
      </c>
      <c r="M118" s="8">
        <v>1</v>
      </c>
      <c r="N118" s="9">
        <f t="shared" si="5"/>
        <v>1886.8699344262288</v>
      </c>
    </row>
    <row r="119" spans="1:14">
      <c r="A119">
        <f t="shared" si="6"/>
        <v>2018</v>
      </c>
      <c r="B119">
        <f t="shared" si="7"/>
        <v>1404</v>
      </c>
      <c r="C119">
        <f ca="1">SUM(INDIRECT("TLG65_MONTHLYFNF!G"&amp;2+B119):INDIRECT("TLG65_MONTHLYFNF!G"&amp;13+B119))</f>
        <v>1672895</v>
      </c>
      <c r="D119">
        <f t="shared" ca="1" si="4"/>
        <v>1672.895</v>
      </c>
      <c r="J119">
        <v>2018</v>
      </c>
      <c r="K119">
        <v>1672.895</v>
      </c>
      <c r="L119">
        <v>59</v>
      </c>
      <c r="M119" s="8">
        <v>0.48360655737704916</v>
      </c>
      <c r="N119" s="9">
        <f t="shared" si="5"/>
        <v>1886.8699344262288</v>
      </c>
    </row>
    <row r="120" spans="1:14">
      <c r="A120">
        <f t="shared" si="6"/>
        <v>2019</v>
      </c>
      <c r="B120">
        <f t="shared" si="7"/>
        <v>1416</v>
      </c>
      <c r="C120">
        <f ca="1">SUM(INDIRECT("TLG65_MONTHLYFNF!G"&amp;2+B120):INDIRECT("TLG65_MONTHLYFNF!G"&amp;13+B120))</f>
        <v>2984040</v>
      </c>
      <c r="D120">
        <f t="shared" ca="1" si="4"/>
        <v>2984.04</v>
      </c>
      <c r="J120">
        <v>2019</v>
      </c>
      <c r="K120">
        <v>2984.04</v>
      </c>
      <c r="L120">
        <v>105</v>
      </c>
      <c r="M120" s="8">
        <v>0.86065573770491799</v>
      </c>
      <c r="N120" s="9">
        <f t="shared" si="5"/>
        <v>1886.8699344262288</v>
      </c>
    </row>
    <row r="121" spans="1:14">
      <c r="A121">
        <f t="shared" si="6"/>
        <v>2020</v>
      </c>
      <c r="B121">
        <f t="shared" si="7"/>
        <v>1428</v>
      </c>
      <c r="C121">
        <f ca="1">SUM(INDIRECT("TLG65_MONTHLYFNF!G"&amp;2+B121):INDIRECT("TLG65_MONTHLYFNF!G"&amp;13+B121))</f>
        <v>969879</v>
      </c>
      <c r="D121">
        <f t="shared" ca="1" si="4"/>
        <v>969.87900000000002</v>
      </c>
      <c r="J121">
        <v>2020</v>
      </c>
      <c r="K121">
        <v>969.87900000000002</v>
      </c>
      <c r="L121">
        <v>17</v>
      </c>
      <c r="M121" s="8">
        <v>0.13934426229508196</v>
      </c>
      <c r="N121" s="9">
        <f t="shared" si="5"/>
        <v>1886.8699344262288</v>
      </c>
    </row>
    <row r="122" spans="1:14">
      <c r="A122">
        <f t="shared" si="6"/>
        <v>2021</v>
      </c>
      <c r="B122">
        <f t="shared" si="7"/>
        <v>1440</v>
      </c>
      <c r="C122">
        <f ca="1">SUM(INDIRECT("TLG65_MONTHLYFNF!G"&amp;2+B122):INDIRECT("TLG65_MONTHLYFNF!G"&amp;13+B122))</f>
        <v>607322</v>
      </c>
      <c r="D122">
        <f t="shared" ca="1" si="4"/>
        <v>607.322</v>
      </c>
      <c r="J122">
        <v>2021</v>
      </c>
      <c r="K122">
        <v>607.322</v>
      </c>
      <c r="L122">
        <v>6</v>
      </c>
      <c r="M122" s="8">
        <v>4.9180327868852458E-2</v>
      </c>
      <c r="N122" s="9">
        <f t="shared" si="5"/>
        <v>1886.8699344262288</v>
      </c>
    </row>
    <row r="123" spans="1:14">
      <c r="A123">
        <f t="shared" si="6"/>
        <v>2022</v>
      </c>
      <c r="B123">
        <f t="shared" si="7"/>
        <v>1452</v>
      </c>
      <c r="C123">
        <f ca="1">SUM(INDIRECT("TLG65_MONTHLYFNF!G"&amp;2+B123):INDIRECT("TLG65_MONTHLYFNF!G"&amp;13+B123))</f>
        <v>1071039</v>
      </c>
      <c r="D123">
        <f t="shared" ca="1" si="4"/>
        <v>1071.039</v>
      </c>
      <c r="J123">
        <v>2022</v>
      </c>
      <c r="K123">
        <v>1071.039</v>
      </c>
      <c r="L123">
        <v>27</v>
      </c>
      <c r="M123" s="8">
        <v>0.22131147540983606</v>
      </c>
      <c r="N123" s="9">
        <f t="shared" si="5"/>
        <v>1886.8699344262288</v>
      </c>
    </row>
    <row r="128" spans="1:14">
      <c r="K128">
        <f>AVERAGE(K2:K123)</f>
        <v>1886.8699344262288</v>
      </c>
    </row>
  </sheetData>
  <sortState xmlns:xlrd2="http://schemas.microsoft.com/office/spreadsheetml/2017/richdata2" ref="J2:M123">
    <sortCondition ref="J2:J12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5FE9-C95A-DB47-949F-8AEA8E7CEE6F}">
  <dimension ref="A1:B13"/>
  <sheetViews>
    <sheetView workbookViewId="0">
      <selection activeCell="E22" sqref="E22"/>
    </sheetView>
  </sheetViews>
  <sheetFormatPr baseColWidth="10" defaultRowHeight="16"/>
  <sheetData>
    <row r="1" spans="1:2">
      <c r="A1" s="7" t="s">
        <v>2588</v>
      </c>
      <c r="B1" s="7" t="s">
        <v>2590</v>
      </c>
    </row>
    <row r="2" spans="1:2">
      <c r="A2">
        <v>382.661</v>
      </c>
      <c r="B2">
        <v>1</v>
      </c>
    </row>
    <row r="3" spans="1:2">
      <c r="A3">
        <v>789.88354545454547</v>
      </c>
      <c r="B3">
        <v>8</v>
      </c>
    </row>
    <row r="4" spans="1:2">
      <c r="A4">
        <v>1197.1060909090909</v>
      </c>
      <c r="B4">
        <v>28</v>
      </c>
    </row>
    <row r="5" spans="1:2">
      <c r="A5">
        <v>1604.3286363636364</v>
      </c>
      <c r="B5">
        <v>18</v>
      </c>
    </row>
    <row r="6" spans="1:2">
      <c r="A6">
        <v>2011.5511818181819</v>
      </c>
      <c r="B6">
        <v>15</v>
      </c>
    </row>
    <row r="7" spans="1:2">
      <c r="A7">
        <v>2418.7737272727272</v>
      </c>
      <c r="B7">
        <v>19</v>
      </c>
    </row>
    <row r="8" spans="1:2">
      <c r="A8">
        <v>2825.9962727272728</v>
      </c>
      <c r="B8">
        <v>11</v>
      </c>
    </row>
    <row r="9" spans="1:2">
      <c r="A9">
        <v>3233.2188181818183</v>
      </c>
      <c r="B9">
        <v>10</v>
      </c>
    </row>
    <row r="10" spans="1:2">
      <c r="A10">
        <v>3640.4413636363638</v>
      </c>
      <c r="B10">
        <v>6</v>
      </c>
    </row>
    <row r="11" spans="1:2">
      <c r="A11">
        <v>4047.6639090909093</v>
      </c>
      <c r="B11">
        <v>4</v>
      </c>
    </row>
    <row r="12" spans="1:2">
      <c r="A12">
        <v>4454.8864545454544</v>
      </c>
      <c r="B12">
        <v>0</v>
      </c>
    </row>
    <row r="13" spans="1:2" ht="17" thickBot="1">
      <c r="A13" s="6" t="s">
        <v>2589</v>
      </c>
      <c r="B13" s="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C721-00B5-104A-8746-C724D20E42DE}">
  <dimension ref="A1:C123"/>
  <sheetViews>
    <sheetView workbookViewId="0">
      <selection sqref="A1:B123"/>
    </sheetView>
  </sheetViews>
  <sheetFormatPr baseColWidth="10" defaultRowHeight="16"/>
  <sheetData>
    <row r="1" spans="1:3">
      <c r="A1" t="s">
        <v>2578</v>
      </c>
      <c r="B1" t="s">
        <v>2586</v>
      </c>
      <c r="C1" t="s">
        <v>2587</v>
      </c>
    </row>
    <row r="2" spans="1:3">
      <c r="A2">
        <v>1901</v>
      </c>
      <c r="B2">
        <v>2920.9</v>
      </c>
    </row>
    <row r="3" spans="1:3">
      <c r="A3">
        <v>1902</v>
      </c>
      <c r="B3">
        <v>1589.84</v>
      </c>
    </row>
    <row r="4" spans="1:3">
      <c r="A4">
        <v>1903</v>
      </c>
      <c r="B4">
        <v>1877.35</v>
      </c>
    </row>
    <row r="5" spans="1:3">
      <c r="A5">
        <v>1904</v>
      </c>
      <c r="B5">
        <v>2439.4</v>
      </c>
    </row>
    <row r="6" spans="1:3">
      <c r="A6">
        <v>1905</v>
      </c>
      <c r="B6">
        <v>1630.72</v>
      </c>
    </row>
    <row r="7" spans="1:3">
      <c r="A7">
        <v>1906</v>
      </c>
      <c r="B7">
        <v>3610.02</v>
      </c>
    </row>
    <row r="8" spans="1:3">
      <c r="A8">
        <v>1907</v>
      </c>
      <c r="B8">
        <v>3749.5</v>
      </c>
    </row>
    <row r="9" spans="1:3">
      <c r="A9">
        <v>1908</v>
      </c>
      <c r="B9">
        <v>1023.56</v>
      </c>
    </row>
    <row r="10" spans="1:3">
      <c r="A10">
        <v>1909</v>
      </c>
      <c r="B10">
        <v>2669.4</v>
      </c>
    </row>
    <row r="11" spans="1:3">
      <c r="A11">
        <v>1910</v>
      </c>
      <c r="B11">
        <v>2131.6999999999998</v>
      </c>
    </row>
    <row r="12" spans="1:3">
      <c r="A12">
        <v>1911</v>
      </c>
      <c r="B12">
        <v>3422.1</v>
      </c>
    </row>
    <row r="13" spans="1:3">
      <c r="A13">
        <v>1912</v>
      </c>
      <c r="B13">
        <v>1050.98</v>
      </c>
    </row>
    <row r="14" spans="1:3">
      <c r="A14">
        <v>1913</v>
      </c>
      <c r="B14">
        <v>1081.33</v>
      </c>
    </row>
    <row r="15" spans="1:3">
      <c r="A15">
        <v>1914</v>
      </c>
      <c r="B15">
        <v>2623.7</v>
      </c>
    </row>
    <row r="16" spans="1:3">
      <c r="A16">
        <v>1915</v>
      </c>
      <c r="B16">
        <v>2044.88</v>
      </c>
    </row>
    <row r="17" spans="1:2">
      <c r="A17">
        <v>1916</v>
      </c>
      <c r="B17">
        <v>2498.17</v>
      </c>
    </row>
    <row r="18" spans="1:2">
      <c r="A18">
        <v>1917</v>
      </c>
      <c r="B18">
        <v>2223.0300000000002</v>
      </c>
    </row>
    <row r="19" spans="1:2">
      <c r="A19">
        <v>1918</v>
      </c>
      <c r="B19">
        <v>1461.59</v>
      </c>
    </row>
    <row r="20" spans="1:2">
      <c r="A20">
        <v>1919</v>
      </c>
      <c r="B20">
        <v>1347.18</v>
      </c>
    </row>
    <row r="21" spans="1:2">
      <c r="A21">
        <v>1920</v>
      </c>
      <c r="B21">
        <v>1342.31</v>
      </c>
    </row>
    <row r="22" spans="1:2">
      <c r="A22">
        <v>1921</v>
      </c>
      <c r="B22">
        <v>2017.93</v>
      </c>
    </row>
    <row r="23" spans="1:2">
      <c r="A23">
        <v>1922</v>
      </c>
      <c r="B23">
        <v>2470.92</v>
      </c>
    </row>
    <row r="24" spans="1:2">
      <c r="A24">
        <v>1923</v>
      </c>
      <c r="B24">
        <v>1785.98</v>
      </c>
    </row>
    <row r="25" spans="1:2">
      <c r="A25">
        <v>1924</v>
      </c>
      <c r="B25">
        <v>542.63</v>
      </c>
    </row>
    <row r="26" spans="1:2">
      <c r="A26">
        <v>1925</v>
      </c>
      <c r="B26">
        <v>1932.12</v>
      </c>
    </row>
    <row r="27" spans="1:2">
      <c r="A27">
        <v>1926</v>
      </c>
      <c r="B27">
        <v>1109.9100000000001</v>
      </c>
    </row>
    <row r="28" spans="1:2">
      <c r="A28">
        <v>1927</v>
      </c>
      <c r="B28">
        <v>2051.4</v>
      </c>
    </row>
    <row r="29" spans="1:2">
      <c r="A29">
        <v>1928</v>
      </c>
      <c r="B29">
        <v>1525.02</v>
      </c>
    </row>
    <row r="30" spans="1:2">
      <c r="A30">
        <v>1929</v>
      </c>
      <c r="B30">
        <v>979.04</v>
      </c>
    </row>
    <row r="31" spans="1:2">
      <c r="A31">
        <v>1930</v>
      </c>
      <c r="B31">
        <v>1147.57</v>
      </c>
    </row>
    <row r="32" spans="1:2">
      <c r="A32">
        <v>1931</v>
      </c>
      <c r="B32">
        <v>602.29</v>
      </c>
    </row>
    <row r="33" spans="1:2">
      <c r="A33">
        <v>1932</v>
      </c>
      <c r="B33">
        <v>2114.25</v>
      </c>
    </row>
    <row r="34" spans="1:2">
      <c r="A34">
        <v>1933</v>
      </c>
      <c r="B34">
        <v>1104.3699999999999</v>
      </c>
    </row>
    <row r="35" spans="1:2">
      <c r="A35">
        <v>1934</v>
      </c>
      <c r="B35">
        <v>807.22</v>
      </c>
    </row>
    <row r="36" spans="1:2">
      <c r="A36">
        <v>1935</v>
      </c>
      <c r="B36">
        <v>2102.87</v>
      </c>
    </row>
    <row r="37" spans="1:2">
      <c r="A37">
        <v>1936</v>
      </c>
      <c r="B37">
        <v>2160.21</v>
      </c>
    </row>
    <row r="38" spans="1:2">
      <c r="A38">
        <v>1937</v>
      </c>
      <c r="B38">
        <v>1997.01</v>
      </c>
    </row>
    <row r="39" spans="1:2">
      <c r="A39">
        <v>1938</v>
      </c>
      <c r="B39">
        <v>3424.33</v>
      </c>
    </row>
    <row r="40" spans="1:2">
      <c r="A40">
        <v>1939</v>
      </c>
      <c r="B40">
        <v>981.01</v>
      </c>
    </row>
    <row r="41" spans="1:2">
      <c r="A41">
        <v>1940</v>
      </c>
      <c r="B41">
        <v>2212.84</v>
      </c>
    </row>
    <row r="42" spans="1:2">
      <c r="A42">
        <v>1941</v>
      </c>
      <c r="B42">
        <v>2489.36</v>
      </c>
    </row>
    <row r="43" spans="1:2">
      <c r="A43">
        <v>1942</v>
      </c>
      <c r="B43">
        <v>2355.52</v>
      </c>
    </row>
    <row r="44" spans="1:2">
      <c r="A44">
        <v>1943</v>
      </c>
      <c r="B44">
        <v>2369.81</v>
      </c>
    </row>
    <row r="45" spans="1:2">
      <c r="A45">
        <v>1944</v>
      </c>
      <c r="B45">
        <v>1295.31</v>
      </c>
    </row>
    <row r="46" spans="1:2">
      <c r="A46">
        <v>1945</v>
      </c>
      <c r="B46">
        <v>2085.7399999999998</v>
      </c>
    </row>
    <row r="47" spans="1:2">
      <c r="A47">
        <v>1946</v>
      </c>
      <c r="B47">
        <v>1879.31</v>
      </c>
    </row>
    <row r="48" spans="1:2">
      <c r="A48">
        <v>1947</v>
      </c>
      <c r="B48">
        <v>1094.18</v>
      </c>
    </row>
    <row r="49" spans="1:2">
      <c r="A49">
        <v>1948</v>
      </c>
      <c r="B49">
        <v>1408.55</v>
      </c>
    </row>
    <row r="50" spans="1:2">
      <c r="A50">
        <v>1949</v>
      </c>
      <c r="B50">
        <v>1246.1300000000001</v>
      </c>
    </row>
    <row r="51" spans="1:2">
      <c r="A51">
        <v>1950</v>
      </c>
      <c r="B51">
        <v>1546.36</v>
      </c>
    </row>
    <row r="52" spans="1:2">
      <c r="A52">
        <v>1951</v>
      </c>
      <c r="B52">
        <v>2475.1799999999998</v>
      </c>
    </row>
    <row r="53" spans="1:2">
      <c r="A53">
        <v>1952</v>
      </c>
      <c r="B53">
        <v>2982.36</v>
      </c>
    </row>
    <row r="54" spans="1:2">
      <c r="A54">
        <v>1953</v>
      </c>
      <c r="B54">
        <v>1525.4</v>
      </c>
    </row>
    <row r="55" spans="1:2">
      <c r="A55">
        <v>1954</v>
      </c>
      <c r="B55">
        <v>1429.18</v>
      </c>
    </row>
    <row r="56" spans="1:2">
      <c r="A56">
        <v>1955</v>
      </c>
      <c r="B56">
        <v>1123.7</v>
      </c>
    </row>
    <row r="57" spans="1:2">
      <c r="A57">
        <v>1956</v>
      </c>
      <c r="B57">
        <v>3152.84</v>
      </c>
    </row>
    <row r="58" spans="1:2">
      <c r="A58">
        <v>1957</v>
      </c>
      <c r="B58">
        <v>1417.57</v>
      </c>
    </row>
    <row r="59" spans="1:2">
      <c r="A59">
        <v>1958</v>
      </c>
      <c r="B59">
        <v>2638.37</v>
      </c>
    </row>
    <row r="60" spans="1:2">
      <c r="A60">
        <v>1959</v>
      </c>
      <c r="B60">
        <v>989.61</v>
      </c>
    </row>
    <row r="61" spans="1:2">
      <c r="A61">
        <v>1960</v>
      </c>
      <c r="B61">
        <v>1052.3800000000001</v>
      </c>
    </row>
    <row r="62" spans="1:2">
      <c r="A62">
        <v>1961</v>
      </c>
      <c r="B62">
        <v>732.39</v>
      </c>
    </row>
    <row r="63" spans="1:2">
      <c r="A63">
        <v>1962</v>
      </c>
      <c r="B63">
        <v>1765.95</v>
      </c>
    </row>
    <row r="64" spans="1:2">
      <c r="A64">
        <v>1963</v>
      </c>
      <c r="B64">
        <v>2041.16</v>
      </c>
    </row>
    <row r="65" spans="1:2">
      <c r="A65">
        <v>1964</v>
      </c>
      <c r="B65">
        <v>1130.28</v>
      </c>
    </row>
    <row r="66" spans="1:2">
      <c r="A66">
        <v>1965</v>
      </c>
      <c r="B66">
        <v>2738.37</v>
      </c>
    </row>
    <row r="67" spans="1:2">
      <c r="A67">
        <v>1966</v>
      </c>
      <c r="B67">
        <v>1306.0999999999999</v>
      </c>
    </row>
    <row r="68" spans="1:2">
      <c r="A68">
        <v>1967</v>
      </c>
      <c r="B68">
        <v>3104.61</v>
      </c>
    </row>
    <row r="69" spans="1:2">
      <c r="A69">
        <v>1968</v>
      </c>
      <c r="B69">
        <v>1006.63</v>
      </c>
    </row>
    <row r="70" spans="1:2">
      <c r="A70">
        <v>1969</v>
      </c>
      <c r="B70">
        <v>3852.26</v>
      </c>
    </row>
    <row r="71" spans="1:2">
      <c r="A71">
        <v>1970</v>
      </c>
      <c r="B71">
        <v>1962.3810000000001</v>
      </c>
    </row>
    <row r="72" spans="1:2">
      <c r="A72">
        <v>1971</v>
      </c>
      <c r="B72">
        <v>1683.134</v>
      </c>
    </row>
    <row r="73" spans="1:2">
      <c r="A73">
        <v>1972</v>
      </c>
      <c r="B73">
        <v>1206.6120000000001</v>
      </c>
    </row>
    <row r="74" spans="1:2">
      <c r="A74">
        <v>1973</v>
      </c>
      <c r="B74">
        <v>2030.6959999999999</v>
      </c>
    </row>
    <row r="75" spans="1:2">
      <c r="A75">
        <v>1974</v>
      </c>
      <c r="B75">
        <v>2238.9</v>
      </c>
    </row>
    <row r="76" spans="1:2">
      <c r="A76">
        <v>1975</v>
      </c>
      <c r="B76">
        <v>2032.671</v>
      </c>
    </row>
    <row r="77" spans="1:2">
      <c r="A77">
        <v>1976</v>
      </c>
      <c r="B77">
        <v>670.59799999999996</v>
      </c>
    </row>
    <row r="78" spans="1:2">
      <c r="A78">
        <v>1977</v>
      </c>
      <c r="B78">
        <v>382.661</v>
      </c>
    </row>
    <row r="79" spans="1:2">
      <c r="A79">
        <v>1978</v>
      </c>
      <c r="B79">
        <v>2902.9989999999998</v>
      </c>
    </row>
    <row r="80" spans="1:2">
      <c r="A80">
        <v>1979</v>
      </c>
      <c r="B80">
        <v>1913.644</v>
      </c>
    </row>
    <row r="81" spans="1:2">
      <c r="A81">
        <v>1980</v>
      </c>
      <c r="B81">
        <v>3045.1329999999998</v>
      </c>
    </row>
    <row r="82" spans="1:2">
      <c r="A82">
        <v>1981</v>
      </c>
      <c r="B82">
        <v>1055.5160000000001</v>
      </c>
    </row>
    <row r="83" spans="1:2">
      <c r="A83">
        <v>1982</v>
      </c>
      <c r="B83">
        <v>3805.777</v>
      </c>
    </row>
    <row r="84" spans="1:2">
      <c r="A84">
        <v>1983</v>
      </c>
      <c r="B84">
        <v>4631.3990000000003</v>
      </c>
    </row>
    <row r="85" spans="1:2">
      <c r="A85">
        <v>1984</v>
      </c>
      <c r="B85">
        <v>2470.768</v>
      </c>
    </row>
    <row r="86" spans="1:2">
      <c r="A86">
        <v>1985</v>
      </c>
      <c r="B86">
        <v>1228.6130000000001</v>
      </c>
    </row>
    <row r="87" spans="1:2">
      <c r="A87">
        <v>1986</v>
      </c>
      <c r="B87">
        <v>2970.8960000000002</v>
      </c>
    </row>
    <row r="88" spans="1:2">
      <c r="A88">
        <v>1987</v>
      </c>
      <c r="B88">
        <v>655.59100000000001</v>
      </c>
    </row>
    <row r="89" spans="1:2">
      <c r="A89">
        <v>1988</v>
      </c>
      <c r="B89">
        <v>820.85</v>
      </c>
    </row>
    <row r="90" spans="1:2">
      <c r="A90">
        <v>1989</v>
      </c>
      <c r="B90">
        <v>1311.9069999999999</v>
      </c>
    </row>
    <row r="91" spans="1:2">
      <c r="A91">
        <v>1990</v>
      </c>
      <c r="B91">
        <v>842.59100000000001</v>
      </c>
    </row>
    <row r="92" spans="1:2">
      <c r="A92">
        <v>1991</v>
      </c>
      <c r="B92">
        <v>1099.079</v>
      </c>
    </row>
    <row r="93" spans="1:2">
      <c r="A93">
        <v>1992</v>
      </c>
      <c r="B93">
        <v>835.02</v>
      </c>
    </row>
    <row r="94" spans="1:2">
      <c r="A94">
        <v>1993</v>
      </c>
      <c r="B94">
        <v>2623.56</v>
      </c>
    </row>
    <row r="95" spans="1:2">
      <c r="A95">
        <v>1994</v>
      </c>
      <c r="B95">
        <v>884.68499999999995</v>
      </c>
    </row>
    <row r="96" spans="1:2">
      <c r="A96">
        <v>1995</v>
      </c>
      <c r="B96">
        <v>3921.8049999999998</v>
      </c>
    </row>
    <row r="97" spans="1:2">
      <c r="A97">
        <v>1996</v>
      </c>
      <c r="B97">
        <v>2316.317</v>
      </c>
    </row>
    <row r="98" spans="1:2">
      <c r="A98">
        <v>1997</v>
      </c>
      <c r="B98">
        <v>3223.6990000000001</v>
      </c>
    </row>
    <row r="99" spans="1:2">
      <c r="A99">
        <v>1998</v>
      </c>
      <c r="B99">
        <v>3338.33</v>
      </c>
    </row>
    <row r="100" spans="1:2">
      <c r="A100">
        <v>1999</v>
      </c>
      <c r="B100">
        <v>2127.4059999999999</v>
      </c>
    </row>
    <row r="101" spans="1:2">
      <c r="A101">
        <v>2000</v>
      </c>
      <c r="B101">
        <v>2019.248</v>
      </c>
    </row>
    <row r="102" spans="1:2">
      <c r="A102">
        <v>2001</v>
      </c>
      <c r="B102">
        <v>1033.624</v>
      </c>
    </row>
    <row r="103" spans="1:2">
      <c r="A103">
        <v>2002</v>
      </c>
      <c r="B103">
        <v>1401.47</v>
      </c>
    </row>
    <row r="104" spans="1:2">
      <c r="A104">
        <v>2003</v>
      </c>
      <c r="B104">
        <v>1627.0940000000001</v>
      </c>
    </row>
    <row r="105" spans="1:2">
      <c r="A105">
        <v>2004</v>
      </c>
      <c r="B105">
        <v>1321.123</v>
      </c>
    </row>
    <row r="106" spans="1:2">
      <c r="A106">
        <v>2005</v>
      </c>
      <c r="B106">
        <v>3005.9560000000001</v>
      </c>
    </row>
    <row r="107" spans="1:2">
      <c r="A107">
        <v>2006</v>
      </c>
      <c r="B107">
        <v>3312.91</v>
      </c>
    </row>
    <row r="108" spans="1:2">
      <c r="A108">
        <v>2007</v>
      </c>
      <c r="B108">
        <v>848.66800000000001</v>
      </c>
    </row>
    <row r="109" spans="1:2">
      <c r="A109">
        <v>2008</v>
      </c>
      <c r="B109">
        <v>1128.7919999999999</v>
      </c>
    </row>
    <row r="110" spans="1:2">
      <c r="A110">
        <v>2009</v>
      </c>
      <c r="B110">
        <v>1665.107</v>
      </c>
    </row>
    <row r="111" spans="1:2">
      <c r="A111">
        <v>2010</v>
      </c>
      <c r="B111">
        <v>1887.5429999999999</v>
      </c>
    </row>
    <row r="112" spans="1:2">
      <c r="A112">
        <v>2011</v>
      </c>
      <c r="B112">
        <v>3524.2539999999999</v>
      </c>
    </row>
    <row r="113" spans="1:2">
      <c r="A113">
        <v>2012</v>
      </c>
      <c r="B113">
        <v>875.46900000000005</v>
      </c>
    </row>
    <row r="114" spans="1:2">
      <c r="A114">
        <v>2013</v>
      </c>
      <c r="B114">
        <v>1087.1479999999999</v>
      </c>
    </row>
    <row r="115" spans="1:2">
      <c r="A115">
        <v>2014</v>
      </c>
      <c r="B115">
        <v>600.53700000000003</v>
      </c>
    </row>
    <row r="116" spans="1:2">
      <c r="A116">
        <v>2015</v>
      </c>
      <c r="B116">
        <v>598.85799999999995</v>
      </c>
    </row>
    <row r="117" spans="1:2">
      <c r="A117">
        <v>2016</v>
      </c>
      <c r="B117">
        <v>1818.6189999999999</v>
      </c>
    </row>
    <row r="118" spans="1:2">
      <c r="A118">
        <v>2017</v>
      </c>
      <c r="B118">
        <v>4862.1090000000004</v>
      </c>
    </row>
    <row r="119" spans="1:2">
      <c r="A119">
        <v>2018</v>
      </c>
      <c r="B119">
        <v>1672.895</v>
      </c>
    </row>
    <row r="120" spans="1:2">
      <c r="A120">
        <v>2019</v>
      </c>
      <c r="B120">
        <v>2984.04</v>
      </c>
    </row>
    <row r="121" spans="1:2">
      <c r="A121">
        <v>2020</v>
      </c>
      <c r="B121">
        <v>969.87900000000002</v>
      </c>
    </row>
    <row r="122" spans="1:2">
      <c r="A122">
        <v>2021</v>
      </c>
      <c r="B122">
        <v>607.322</v>
      </c>
    </row>
    <row r="123" spans="1:2">
      <c r="A123">
        <v>2022</v>
      </c>
      <c r="B123">
        <v>1071.039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TLG65_MonthlyFNF</vt:lpstr>
      <vt:lpstr>FEB_JUN</vt:lpstr>
      <vt:lpstr>F-J_piles</vt:lpstr>
      <vt:lpstr>ANNUAL</vt:lpstr>
      <vt:lpstr>Hist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Murdoch</cp:lastModifiedBy>
  <dcterms:created xsi:type="dcterms:W3CDTF">2022-11-06T20:39:20Z</dcterms:created>
  <dcterms:modified xsi:type="dcterms:W3CDTF">2024-05-07T02:33:07Z</dcterms:modified>
</cp:coreProperties>
</file>