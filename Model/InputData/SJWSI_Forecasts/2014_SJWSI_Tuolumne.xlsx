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ity/Desktop/SJWSI_Forcasts/"/>
    </mc:Choice>
  </mc:AlternateContent>
  <xr:revisionPtr revIDLastSave="0" documentId="13_ncr:1_{6198E1C5-123E-2C44-AECA-B572B5DFA54F}" xr6:coauthVersionLast="47" xr6:coauthVersionMax="47" xr10:uidLastSave="{00000000-0000-0000-0000-000000000000}"/>
  <bookViews>
    <workbookView xWindow="400" yWindow="500" windowWidth="27000" windowHeight="9320" activeTab="5" xr2:uid="{3578BA0C-0428-784E-9DCD-2FF2D0CA4835}"/>
  </bookViews>
  <sheets>
    <sheet name="Dec1" sheetId="9" r:id="rId1"/>
    <sheet name="Jan1" sheetId="2" r:id="rId2"/>
    <sheet name="Feb1" sheetId="3" r:id="rId3"/>
    <sheet name="Mar1" sheetId="4" r:id="rId4"/>
    <sheet name="Apr1" sheetId="5" r:id="rId5"/>
    <sheet name="May1" sheetId="7" r:id="rId6"/>
    <sheet name="templ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9" l="1"/>
  <c r="N8" i="9"/>
  <c r="O7" i="9"/>
  <c r="N7" i="9"/>
  <c r="O6" i="9"/>
  <c r="N6" i="9"/>
  <c r="O5" i="9"/>
  <c r="N5" i="9"/>
  <c r="O4" i="9"/>
  <c r="N4" i="9"/>
  <c r="O3" i="9"/>
  <c r="N3" i="9"/>
  <c r="O8" i="3"/>
  <c r="N8" i="3"/>
  <c r="O7" i="3"/>
  <c r="N7" i="3"/>
  <c r="O6" i="3"/>
  <c r="N6" i="3"/>
  <c r="O5" i="3"/>
  <c r="N5" i="3"/>
  <c r="O4" i="3"/>
  <c r="N4" i="3"/>
  <c r="O3" i="3"/>
  <c r="N3" i="3"/>
  <c r="O8" i="2"/>
  <c r="N8" i="2"/>
  <c r="O7" i="2"/>
  <c r="N7" i="2"/>
  <c r="O6" i="2"/>
  <c r="N6" i="2"/>
  <c r="O5" i="2"/>
  <c r="N5" i="2"/>
  <c r="O4" i="2"/>
  <c r="N4" i="2"/>
  <c r="O3" i="2"/>
  <c r="N3" i="2"/>
  <c r="O4" i="7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</calcChain>
</file>

<file path=xl/sharedStrings.xml><?xml version="1.0" encoding="utf-8"?>
<sst xmlns="http://schemas.openxmlformats.org/spreadsheetml/2006/main" count="131" uniqueCount="26">
  <si>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</si>
  <si>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</si>
  <si>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</si>
  <si>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</si>
  <si>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</si>
  <si>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</si>
  <si>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</si>
  <si>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</si>
  <si>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</si>
  <si>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</si>
  <si>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</si>
  <si>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</si>
  <si>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</si>
  <si>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</si>
  <si>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</si>
  <si>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</si>
  <si>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</si>
  <si>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>from</t>
  </si>
  <si>
    <t xml:space="preserve">from </t>
  </si>
  <si>
    <t xml:space="preserve">1961-2010 avg </t>
  </si>
  <si>
    <t>131201SJWSI.pdf</t>
  </si>
  <si>
    <t>140101SJWSI.pdf</t>
  </si>
  <si>
    <t>140201SJWSI.pdf</t>
  </si>
  <si>
    <t>140301SJWSI.pdf</t>
  </si>
  <si>
    <t>140401SJWSI.pdf</t>
  </si>
  <si>
    <t>140501SJWSI.pdf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</si>
</sst>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37A-97E3-0247-9855-6844CD0BABC0}">
  <dimension ref="A1:O17"/>
  <sheetViews>
    <sheetView workbookViewId="0">
      <selection activeCell="H3" sqref="H3:J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5</v>
      </c>
      <c r="D3" s="3">
        <v>11</v>
      </c>
      <c r="E3" s="3">
        <v>12</v>
      </c>
      <c r="F3" s="3">
        <v>21</v>
      </c>
      <c r="G3" s="3">
        <v>35</v>
      </c>
      <c r="H3" s="3">
        <v>62</v>
      </c>
      <c r="I3" s="3">
        <v>100</v>
      </c>
      <c r="J3" s="3">
        <v>36</v>
      </c>
      <c r="K3" s="3">
        <v>8</v>
      </c>
      <c r="L3" s="3">
        <v>3</v>
      </c>
      <c r="M3" s="3">
        <v>2</v>
      </c>
      <c r="N3" s="3">
        <f t="shared" ref="N3:N7" si="0">SUM(B3:M3)</f>
        <v>300</v>
      </c>
      <c r="O3" s="3">
        <f>SUM(H3:J3)</f>
        <v>198</v>
      </c>
    </row>
    <row r="4" spans="1:15">
      <c r="A4" s="2">
        <v>0.9</v>
      </c>
      <c r="B4" s="3">
        <v>5</v>
      </c>
      <c r="C4" s="3">
        <v>5</v>
      </c>
      <c r="D4" s="3">
        <v>20</v>
      </c>
      <c r="E4" s="3">
        <v>28</v>
      </c>
      <c r="F4" s="3">
        <v>49</v>
      </c>
      <c r="G4" s="3">
        <v>77</v>
      </c>
      <c r="H4" s="3">
        <v>110</v>
      </c>
      <c r="I4" s="3">
        <v>174</v>
      </c>
      <c r="J4" s="3">
        <v>81</v>
      </c>
      <c r="K4" s="3">
        <v>18</v>
      </c>
      <c r="L4" s="3">
        <v>7</v>
      </c>
      <c r="M4" s="3">
        <v>6</v>
      </c>
      <c r="N4" s="3">
        <f t="shared" si="0"/>
        <v>580</v>
      </c>
      <c r="O4" s="3">
        <f t="shared" ref="O4:O8" si="1">SUM(H4:J4)</f>
        <v>365</v>
      </c>
    </row>
    <row r="5" spans="1:15">
      <c r="A5" s="2">
        <v>0.75</v>
      </c>
      <c r="B5" s="3">
        <v>5</v>
      </c>
      <c r="C5" s="3">
        <v>5</v>
      </c>
      <c r="D5" s="3">
        <v>27</v>
      </c>
      <c r="E5" s="3">
        <v>40</v>
      </c>
      <c r="F5" s="3">
        <v>71</v>
      </c>
      <c r="G5" s="3">
        <v>110</v>
      </c>
      <c r="H5" s="3">
        <v>150</v>
      </c>
      <c r="I5" s="3">
        <v>239</v>
      </c>
      <c r="J5" s="3">
        <v>124</v>
      </c>
      <c r="K5" s="3">
        <v>35</v>
      </c>
      <c r="L5" s="3">
        <v>10</v>
      </c>
      <c r="M5" s="3">
        <v>8</v>
      </c>
      <c r="N5" s="3">
        <f t="shared" si="0"/>
        <v>824</v>
      </c>
      <c r="O5" s="3">
        <f t="shared" si="1"/>
        <v>513</v>
      </c>
    </row>
    <row r="6" spans="1:15">
      <c r="A6" s="2">
        <v>0.5</v>
      </c>
      <c r="B6" s="3">
        <v>5</v>
      </c>
      <c r="C6" s="3">
        <v>5</v>
      </c>
      <c r="D6" s="3">
        <v>61</v>
      </c>
      <c r="E6" s="3">
        <v>90</v>
      </c>
      <c r="F6" s="3">
        <v>118</v>
      </c>
      <c r="G6" s="3">
        <v>150</v>
      </c>
      <c r="H6" s="3">
        <v>197</v>
      </c>
      <c r="I6" s="3">
        <v>349</v>
      </c>
      <c r="J6" s="3">
        <v>252</v>
      </c>
      <c r="K6" s="3">
        <v>64</v>
      </c>
      <c r="L6" s="3">
        <v>23</v>
      </c>
      <c r="M6" s="3">
        <v>16</v>
      </c>
      <c r="N6" s="3">
        <f t="shared" si="0"/>
        <v>1330</v>
      </c>
      <c r="O6" s="3">
        <f t="shared" si="1"/>
        <v>798</v>
      </c>
    </row>
    <row r="7" spans="1:15">
      <c r="A7" s="2">
        <v>0.25</v>
      </c>
      <c r="B7" s="3">
        <v>5</v>
      </c>
      <c r="C7" s="3">
        <v>5</v>
      </c>
      <c r="D7" s="3">
        <v>107</v>
      </c>
      <c r="E7" s="3">
        <v>158</v>
      </c>
      <c r="F7" s="3">
        <v>164</v>
      </c>
      <c r="G7" s="3">
        <v>198</v>
      </c>
      <c r="H7" s="3">
        <v>260</v>
      </c>
      <c r="I7" s="3">
        <v>421</v>
      </c>
      <c r="J7" s="3">
        <v>352</v>
      </c>
      <c r="K7" s="3">
        <v>115</v>
      </c>
      <c r="L7" s="3">
        <v>34</v>
      </c>
      <c r="M7" s="3">
        <v>20</v>
      </c>
      <c r="N7" s="3">
        <f t="shared" si="0"/>
        <v>1839</v>
      </c>
      <c r="O7" s="3">
        <f t="shared" si="1"/>
        <v>1033</v>
      </c>
    </row>
    <row r="8" spans="1:15">
      <c r="A8" s="2">
        <v>0.1</v>
      </c>
      <c r="B8" s="3">
        <v>5</v>
      </c>
      <c r="C8" s="3">
        <v>5</v>
      </c>
      <c r="D8" s="3">
        <v>157</v>
      </c>
      <c r="E8" s="3">
        <v>262</v>
      </c>
      <c r="F8" s="3">
        <v>217</v>
      </c>
      <c r="G8" s="3">
        <v>266</v>
      </c>
      <c r="H8" s="3">
        <v>303</v>
      </c>
      <c r="I8" s="3">
        <v>506</v>
      </c>
      <c r="J8" s="3">
        <v>495</v>
      </c>
      <c r="K8" s="3">
        <v>231</v>
      </c>
      <c r="L8" s="3">
        <v>52</v>
      </c>
      <c r="M8" s="3">
        <v>25</v>
      </c>
      <c r="N8" s="3">
        <f>SUM(B8:M8)</f>
        <v>2524</v>
      </c>
      <c r="O8" s="3">
        <f t="shared" si="1"/>
        <v>1304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20</v>
      </c>
    </row>
    <row r="17" ht="13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dimension ref="A1:O10"/>
  <sheetViews>
    <sheetView workbookViewId="0">
      <selection activeCell="K3" sqref="K3:M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5</v>
      </c>
      <c r="D3" s="3">
        <v>6</v>
      </c>
      <c r="E3" s="3">
        <v>11</v>
      </c>
      <c r="F3" s="3">
        <v>19</v>
      </c>
      <c r="G3" s="3">
        <v>31</v>
      </c>
      <c r="H3" s="3">
        <v>56</v>
      </c>
      <c r="I3" s="3">
        <v>73</v>
      </c>
      <c r="J3" s="3">
        <v>33</v>
      </c>
      <c r="K3" s="3">
        <v>7</v>
      </c>
      <c r="L3" s="3">
        <v>3</v>
      </c>
      <c r="M3" s="3">
        <v>2</v>
      </c>
      <c r="N3" s="3">
        <f>SUM(B3:M3)</f>
        <v>251</v>
      </c>
      <c r="O3" s="3">
        <f>SUM(H3:J3)</f>
        <v>162</v>
      </c>
    </row>
    <row r="4" spans="1:15">
      <c r="A4" s="2">
        <v>0.9</v>
      </c>
      <c r="B4" s="3">
        <v>5</v>
      </c>
      <c r="C4" s="3">
        <v>5</v>
      </c>
      <c r="D4" s="3">
        <v>6</v>
      </c>
      <c r="E4" s="3">
        <v>19</v>
      </c>
      <c r="F4" s="3">
        <v>34</v>
      </c>
      <c r="G4" s="3">
        <v>55</v>
      </c>
      <c r="H4" s="3">
        <v>99</v>
      </c>
      <c r="I4" s="3">
        <v>127</v>
      </c>
      <c r="J4" s="3">
        <v>58</v>
      </c>
      <c r="K4" s="3">
        <v>13</v>
      </c>
      <c r="L4" s="3">
        <v>5</v>
      </c>
      <c r="M4" s="3">
        <v>4</v>
      </c>
      <c r="N4" s="3">
        <f t="shared" ref="N4:N8" si="0">SUM(B4:M4)</f>
        <v>430</v>
      </c>
      <c r="O4" s="3">
        <f t="shared" ref="O4:O8" si="1">SUM(H4:J4)</f>
        <v>284</v>
      </c>
    </row>
    <row r="5" spans="1:15">
      <c r="A5" s="2">
        <v>0.75</v>
      </c>
      <c r="B5" s="3">
        <v>5</v>
      </c>
      <c r="C5" s="3">
        <v>5</v>
      </c>
      <c r="D5" s="3">
        <v>6</v>
      </c>
      <c r="E5" s="3">
        <v>30</v>
      </c>
      <c r="F5" s="3">
        <v>54</v>
      </c>
      <c r="G5" s="3">
        <v>84</v>
      </c>
      <c r="H5" s="3">
        <v>149</v>
      </c>
      <c r="I5" s="3">
        <v>189</v>
      </c>
      <c r="J5" s="3">
        <v>88</v>
      </c>
      <c r="K5" s="3">
        <v>20</v>
      </c>
      <c r="L5" s="3">
        <v>8</v>
      </c>
      <c r="M5" s="3">
        <v>6</v>
      </c>
      <c r="N5" s="3">
        <f t="shared" si="0"/>
        <v>644</v>
      </c>
      <c r="O5" s="3">
        <f t="shared" si="1"/>
        <v>426</v>
      </c>
    </row>
    <row r="6" spans="1:15">
      <c r="A6" s="2">
        <v>0.5</v>
      </c>
      <c r="B6" s="3">
        <v>5</v>
      </c>
      <c r="C6" s="3">
        <v>5</v>
      </c>
      <c r="D6" s="3">
        <v>6</v>
      </c>
      <c r="E6" s="3">
        <v>50</v>
      </c>
      <c r="F6" s="3">
        <v>87</v>
      </c>
      <c r="G6" s="3">
        <v>137</v>
      </c>
      <c r="H6" s="3">
        <v>190</v>
      </c>
      <c r="I6" s="3">
        <v>286</v>
      </c>
      <c r="J6" s="3">
        <v>169</v>
      </c>
      <c r="K6" s="3">
        <v>33</v>
      </c>
      <c r="L6" s="3">
        <v>12</v>
      </c>
      <c r="M6" s="3">
        <v>10</v>
      </c>
      <c r="N6" s="3">
        <f t="shared" si="0"/>
        <v>990</v>
      </c>
      <c r="O6" s="3">
        <f t="shared" si="1"/>
        <v>645</v>
      </c>
    </row>
    <row r="7" spans="1:15">
      <c r="A7" s="2">
        <v>0.25</v>
      </c>
      <c r="B7" s="3">
        <v>5</v>
      </c>
      <c r="C7" s="3">
        <v>5</v>
      </c>
      <c r="D7" s="3">
        <v>6</v>
      </c>
      <c r="E7" s="3">
        <v>106</v>
      </c>
      <c r="F7" s="3">
        <v>131</v>
      </c>
      <c r="G7" s="3">
        <v>164</v>
      </c>
      <c r="H7" s="3">
        <v>230</v>
      </c>
      <c r="I7" s="3">
        <v>379</v>
      </c>
      <c r="J7" s="3">
        <v>282</v>
      </c>
      <c r="K7" s="3">
        <v>75</v>
      </c>
      <c r="L7" s="3">
        <v>26</v>
      </c>
      <c r="M7" s="3">
        <v>17</v>
      </c>
      <c r="N7" s="3">
        <f t="shared" si="0"/>
        <v>1426</v>
      </c>
      <c r="O7" s="3">
        <f t="shared" si="1"/>
        <v>891</v>
      </c>
    </row>
    <row r="8" spans="1:15">
      <c r="A8" s="2">
        <v>0.1</v>
      </c>
      <c r="B8" s="3">
        <v>5</v>
      </c>
      <c r="C8" s="3">
        <v>5</v>
      </c>
      <c r="D8" s="3">
        <v>6</v>
      </c>
      <c r="E8" s="3">
        <v>175</v>
      </c>
      <c r="F8" s="3">
        <v>192</v>
      </c>
      <c r="G8" s="3">
        <v>229</v>
      </c>
      <c r="H8" s="3">
        <v>274</v>
      </c>
      <c r="I8" s="3">
        <v>473</v>
      </c>
      <c r="J8" s="3">
        <v>411</v>
      </c>
      <c r="K8" s="3">
        <v>143</v>
      </c>
      <c r="L8" s="3">
        <v>40</v>
      </c>
      <c r="M8" s="3">
        <v>23</v>
      </c>
      <c r="N8" s="3">
        <f t="shared" si="0"/>
        <v>1976</v>
      </c>
      <c r="O8" s="3">
        <f t="shared" si="1"/>
        <v>1158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18</v>
      </c>
      <c r="C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dimension ref="A1:O17"/>
  <sheetViews>
    <sheetView topLeftCell="A2" workbookViewId="0">
      <selection activeCell="E10" sqref="E10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5</v>
      </c>
      <c r="D3" s="3">
        <v>6</v>
      </c>
      <c r="E3" s="3">
        <v>4</v>
      </c>
      <c r="F3" s="3">
        <v>19</v>
      </c>
      <c r="G3" s="3">
        <v>31</v>
      </c>
      <c r="H3" s="3">
        <v>56</v>
      </c>
      <c r="I3" s="3">
        <v>73</v>
      </c>
      <c r="J3" s="3">
        <v>33</v>
      </c>
      <c r="K3" s="3">
        <v>7</v>
      </c>
      <c r="L3" s="3">
        <v>1</v>
      </c>
      <c r="M3" s="3">
        <v>1</v>
      </c>
      <c r="N3" s="3">
        <f t="shared" ref="N3:N7" si="0">SUM(B3:M3)</f>
        <v>241</v>
      </c>
      <c r="O3" s="3">
        <f>SUM(H3:J3)</f>
        <v>162</v>
      </c>
    </row>
    <row r="4" spans="1:15">
      <c r="A4" s="2">
        <v>0.9</v>
      </c>
      <c r="B4" s="3">
        <v>5</v>
      </c>
      <c r="C4" s="3">
        <v>5</v>
      </c>
      <c r="D4" s="3">
        <v>6</v>
      </c>
      <c r="E4" s="3">
        <v>4</v>
      </c>
      <c r="F4" s="3">
        <v>28</v>
      </c>
      <c r="G4" s="3">
        <v>47</v>
      </c>
      <c r="H4" s="3">
        <v>85</v>
      </c>
      <c r="I4" s="3">
        <v>130</v>
      </c>
      <c r="J4" s="3">
        <v>45</v>
      </c>
      <c r="K4" s="3">
        <v>10</v>
      </c>
      <c r="L4" s="3">
        <v>3</v>
      </c>
      <c r="M4" s="3">
        <v>2</v>
      </c>
      <c r="N4" s="3">
        <f t="shared" si="0"/>
        <v>370</v>
      </c>
      <c r="O4" s="3">
        <f t="shared" ref="O4:O8" si="1">SUM(H4:J4)</f>
        <v>260</v>
      </c>
    </row>
    <row r="5" spans="1:15">
      <c r="A5" s="2">
        <v>0.75</v>
      </c>
      <c r="B5" s="3">
        <v>5</v>
      </c>
      <c r="C5" s="3">
        <v>5</v>
      </c>
      <c r="D5" s="3">
        <v>6</v>
      </c>
      <c r="E5" s="3">
        <v>4</v>
      </c>
      <c r="F5" s="3">
        <v>42</v>
      </c>
      <c r="G5" s="3">
        <v>70</v>
      </c>
      <c r="H5" s="3">
        <v>133</v>
      </c>
      <c r="I5" s="3">
        <v>170</v>
      </c>
      <c r="J5" s="3">
        <v>79</v>
      </c>
      <c r="K5" s="3">
        <v>18</v>
      </c>
      <c r="L5" s="3">
        <v>5</v>
      </c>
      <c r="M5" s="3">
        <v>3</v>
      </c>
      <c r="N5" s="3">
        <f t="shared" si="0"/>
        <v>540</v>
      </c>
      <c r="O5" s="3">
        <f t="shared" si="1"/>
        <v>382</v>
      </c>
    </row>
    <row r="6" spans="1:15">
      <c r="A6" s="2">
        <v>0.5</v>
      </c>
      <c r="B6" s="3">
        <v>5</v>
      </c>
      <c r="C6" s="3">
        <v>5</v>
      </c>
      <c r="D6" s="3">
        <v>6</v>
      </c>
      <c r="E6" s="3">
        <v>4</v>
      </c>
      <c r="F6" s="3">
        <v>58</v>
      </c>
      <c r="G6" s="3">
        <v>95</v>
      </c>
      <c r="H6" s="3">
        <v>180</v>
      </c>
      <c r="I6" s="3">
        <v>235</v>
      </c>
      <c r="J6" s="3">
        <v>120</v>
      </c>
      <c r="K6" s="3">
        <v>25</v>
      </c>
      <c r="L6" s="3">
        <v>7</v>
      </c>
      <c r="M6" s="3">
        <v>5</v>
      </c>
      <c r="N6" s="3">
        <f t="shared" si="0"/>
        <v>745</v>
      </c>
      <c r="O6" s="3">
        <f t="shared" si="1"/>
        <v>535</v>
      </c>
    </row>
    <row r="7" spans="1:15">
      <c r="A7" s="2">
        <v>0.25</v>
      </c>
      <c r="B7" s="3">
        <v>5</v>
      </c>
      <c r="C7" s="3">
        <v>5</v>
      </c>
      <c r="D7" s="3">
        <v>6</v>
      </c>
      <c r="E7" s="3">
        <v>4</v>
      </c>
      <c r="F7" s="3">
        <v>105</v>
      </c>
      <c r="G7" s="3">
        <v>140</v>
      </c>
      <c r="H7" s="3">
        <v>222</v>
      </c>
      <c r="I7" s="3">
        <v>360</v>
      </c>
      <c r="J7" s="3">
        <v>260</v>
      </c>
      <c r="K7" s="3">
        <v>60</v>
      </c>
      <c r="L7" s="3">
        <v>16</v>
      </c>
      <c r="M7" s="3">
        <v>7</v>
      </c>
      <c r="N7" s="3">
        <f t="shared" si="0"/>
        <v>1190</v>
      </c>
      <c r="O7" s="3">
        <f t="shared" si="1"/>
        <v>842</v>
      </c>
    </row>
    <row r="8" spans="1:15">
      <c r="A8" s="2">
        <v>0.1</v>
      </c>
      <c r="B8" s="3">
        <v>5</v>
      </c>
      <c r="C8" s="3">
        <v>5</v>
      </c>
      <c r="D8" s="3">
        <v>6</v>
      </c>
      <c r="E8" s="3">
        <v>4</v>
      </c>
      <c r="F8" s="3">
        <v>150</v>
      </c>
      <c r="G8" s="3">
        <v>185</v>
      </c>
      <c r="H8" s="3">
        <v>285</v>
      </c>
      <c r="I8" s="3">
        <v>480</v>
      </c>
      <c r="J8" s="3">
        <v>395</v>
      </c>
      <c r="K8" s="3">
        <v>90</v>
      </c>
      <c r="L8" s="3">
        <v>25</v>
      </c>
      <c r="M8" s="3">
        <v>10</v>
      </c>
      <c r="N8" s="3">
        <f>SUM(B8:M8)</f>
        <v>1640</v>
      </c>
      <c r="O8" s="3">
        <f t="shared" si="1"/>
        <v>1160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22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dimension ref="A1:O10"/>
  <sheetViews>
    <sheetView workbookViewId="0">
      <selection activeCell="E7" sqref="E7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5</v>
      </c>
      <c r="D3" s="3">
        <v>6</v>
      </c>
      <c r="E3" s="3">
        <v>4</v>
      </c>
      <c r="F3" s="3">
        <v>52</v>
      </c>
      <c r="G3" s="3">
        <v>50</v>
      </c>
      <c r="H3" s="3">
        <v>89</v>
      </c>
      <c r="I3" s="3">
        <v>115</v>
      </c>
      <c r="J3" s="3">
        <v>28</v>
      </c>
      <c r="K3" s="3">
        <v>6</v>
      </c>
      <c r="L3" s="3">
        <v>0</v>
      </c>
      <c r="M3" s="3">
        <v>0</v>
      </c>
      <c r="N3" s="3">
        <f t="shared" ref="N3:N8" si="0">SUM(B3:M3)</f>
        <v>360</v>
      </c>
      <c r="O3" s="3">
        <f>SUM(H3:J3)</f>
        <v>232</v>
      </c>
    </row>
    <row r="4" spans="1:15">
      <c r="A4" s="2">
        <v>0.9</v>
      </c>
      <c r="B4" s="3">
        <v>5</v>
      </c>
      <c r="C4" s="3">
        <v>5</v>
      </c>
      <c r="D4" s="3">
        <v>6</v>
      </c>
      <c r="E4" s="3">
        <v>4</v>
      </c>
      <c r="F4" s="3">
        <v>52</v>
      </c>
      <c r="G4" s="3">
        <v>65</v>
      </c>
      <c r="H4" s="3">
        <v>106</v>
      </c>
      <c r="I4" s="3">
        <v>139</v>
      </c>
      <c r="J4" s="3">
        <v>63</v>
      </c>
      <c r="K4" s="3">
        <v>12</v>
      </c>
      <c r="L4" s="3">
        <v>2</v>
      </c>
      <c r="M4" s="3">
        <v>1</v>
      </c>
      <c r="N4" s="3">
        <f t="shared" si="0"/>
        <v>460</v>
      </c>
      <c r="O4" s="3">
        <f t="shared" ref="O4:O8" si="1">SUM(H4:J4)</f>
        <v>308</v>
      </c>
    </row>
    <row r="5" spans="1:15">
      <c r="A5" s="2">
        <v>0.75</v>
      </c>
      <c r="B5" s="3">
        <v>5</v>
      </c>
      <c r="C5" s="3">
        <v>5</v>
      </c>
      <c r="D5" s="3">
        <v>6</v>
      </c>
      <c r="E5" s="3">
        <v>4</v>
      </c>
      <c r="F5" s="3">
        <v>52</v>
      </c>
      <c r="G5" s="3">
        <v>94</v>
      </c>
      <c r="H5" s="3">
        <v>142</v>
      </c>
      <c r="I5" s="3">
        <v>195</v>
      </c>
      <c r="J5" s="3">
        <v>87</v>
      </c>
      <c r="K5" s="3">
        <v>15</v>
      </c>
      <c r="L5" s="3">
        <v>4</v>
      </c>
      <c r="M5" s="3">
        <v>1</v>
      </c>
      <c r="N5" s="3">
        <f t="shared" si="0"/>
        <v>610</v>
      </c>
      <c r="O5" s="3">
        <f t="shared" si="1"/>
        <v>424</v>
      </c>
    </row>
    <row r="6" spans="1:15">
      <c r="A6" s="2">
        <v>0.5</v>
      </c>
      <c r="B6" s="3">
        <v>5</v>
      </c>
      <c r="C6" s="3">
        <v>5</v>
      </c>
      <c r="D6" s="3">
        <v>6</v>
      </c>
      <c r="E6" s="3">
        <v>4</v>
      </c>
      <c r="F6" s="3">
        <v>52</v>
      </c>
      <c r="G6" s="3">
        <v>105</v>
      </c>
      <c r="H6" s="3">
        <v>175</v>
      </c>
      <c r="I6" s="3">
        <v>250</v>
      </c>
      <c r="J6" s="3">
        <v>115</v>
      </c>
      <c r="K6" s="3">
        <v>20</v>
      </c>
      <c r="L6" s="3">
        <v>6</v>
      </c>
      <c r="M6" s="3">
        <v>2</v>
      </c>
      <c r="N6" s="3">
        <f t="shared" si="0"/>
        <v>745</v>
      </c>
      <c r="O6" s="3">
        <f t="shared" si="1"/>
        <v>540</v>
      </c>
    </row>
    <row r="7" spans="1:15">
      <c r="A7" s="2">
        <v>0.25</v>
      </c>
      <c r="B7" s="3">
        <v>5</v>
      </c>
      <c r="C7" s="3">
        <v>5</v>
      </c>
      <c r="D7" s="3">
        <v>6</v>
      </c>
      <c r="E7" s="3">
        <v>4</v>
      </c>
      <c r="F7" s="3">
        <v>52</v>
      </c>
      <c r="G7" s="3">
        <v>135</v>
      </c>
      <c r="H7" s="3">
        <v>230</v>
      </c>
      <c r="I7" s="3">
        <v>355</v>
      </c>
      <c r="J7" s="3">
        <v>225</v>
      </c>
      <c r="K7" s="3">
        <v>55</v>
      </c>
      <c r="L7" s="3">
        <v>24</v>
      </c>
      <c r="M7" s="3">
        <v>19</v>
      </c>
      <c r="N7" s="3">
        <f t="shared" si="0"/>
        <v>1115</v>
      </c>
      <c r="O7" s="3">
        <f t="shared" si="1"/>
        <v>810</v>
      </c>
    </row>
    <row r="8" spans="1:15">
      <c r="A8" s="2">
        <v>0.1</v>
      </c>
      <c r="B8" s="3">
        <v>5</v>
      </c>
      <c r="C8" s="3">
        <v>5</v>
      </c>
      <c r="D8" s="3">
        <v>6</v>
      </c>
      <c r="E8" s="3">
        <v>4</v>
      </c>
      <c r="F8" s="3">
        <v>52</v>
      </c>
      <c r="G8" s="3">
        <v>175</v>
      </c>
      <c r="H8" s="3">
        <v>270</v>
      </c>
      <c r="I8" s="3">
        <v>458</v>
      </c>
      <c r="J8" s="3">
        <v>320</v>
      </c>
      <c r="K8" s="3">
        <v>92</v>
      </c>
      <c r="L8" s="3">
        <v>38</v>
      </c>
      <c r="M8" s="3">
        <v>25</v>
      </c>
      <c r="N8" s="3">
        <f t="shared" si="0"/>
        <v>1450</v>
      </c>
      <c r="O8" s="3">
        <f t="shared" si="1"/>
        <v>1048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dimension ref="A1:O10"/>
  <sheetViews>
    <sheetView topLeftCell="B1" workbookViewId="0">
      <selection activeCell="L12" sqref="L12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5</v>
      </c>
      <c r="D3" s="3">
        <v>6</v>
      </c>
      <c r="E3" s="3">
        <v>4</v>
      </c>
      <c r="F3" s="3">
        <v>52</v>
      </c>
      <c r="G3" s="3">
        <v>94</v>
      </c>
      <c r="H3" s="3">
        <v>93</v>
      </c>
      <c r="I3" s="3">
        <v>120</v>
      </c>
      <c r="J3" s="3">
        <v>55</v>
      </c>
      <c r="K3" s="3">
        <v>6</v>
      </c>
      <c r="L3" s="3">
        <v>0</v>
      </c>
      <c r="M3" s="3">
        <v>0</v>
      </c>
      <c r="N3" s="3">
        <f t="shared" ref="N3:N8" si="0">SUM(B3:M3)</f>
        <v>440</v>
      </c>
      <c r="O3" s="3">
        <f>SUM(H3:J3)</f>
        <v>268</v>
      </c>
    </row>
    <row r="4" spans="1:15">
      <c r="A4" s="2">
        <v>0.9</v>
      </c>
      <c r="B4" s="3">
        <v>5</v>
      </c>
      <c r="C4" s="3">
        <v>5</v>
      </c>
      <c r="D4" s="3">
        <v>6</v>
      </c>
      <c r="E4" s="3">
        <v>4</v>
      </c>
      <c r="F4" s="3">
        <v>52</v>
      </c>
      <c r="G4" s="3">
        <v>94</v>
      </c>
      <c r="H4" s="3">
        <v>128</v>
      </c>
      <c r="I4" s="3">
        <v>164</v>
      </c>
      <c r="J4" s="3">
        <v>76</v>
      </c>
      <c r="K4" s="3">
        <v>12</v>
      </c>
      <c r="L4" s="3">
        <v>3</v>
      </c>
      <c r="M4" s="3">
        <v>1</v>
      </c>
      <c r="N4" s="3">
        <f t="shared" si="0"/>
        <v>550</v>
      </c>
      <c r="O4" s="3">
        <f t="shared" ref="O4:O8" si="1">SUM(H4:J4)</f>
        <v>368</v>
      </c>
    </row>
    <row r="5" spans="1:15">
      <c r="A5" s="2">
        <v>0.75</v>
      </c>
      <c r="B5" s="3">
        <v>5</v>
      </c>
      <c r="C5" s="3">
        <v>5</v>
      </c>
      <c r="D5" s="3">
        <v>6</v>
      </c>
      <c r="E5" s="3">
        <v>4</v>
      </c>
      <c r="F5" s="3">
        <v>52</v>
      </c>
      <c r="G5" s="3">
        <v>94</v>
      </c>
      <c r="H5" s="3">
        <v>145</v>
      </c>
      <c r="I5" s="3">
        <v>197</v>
      </c>
      <c r="J5" s="3">
        <v>92</v>
      </c>
      <c r="K5" s="3">
        <v>15</v>
      </c>
      <c r="L5" s="3">
        <v>4</v>
      </c>
      <c r="M5" s="3">
        <v>1</v>
      </c>
      <c r="N5" s="3">
        <f t="shared" si="0"/>
        <v>620</v>
      </c>
      <c r="O5" s="3">
        <f t="shared" si="1"/>
        <v>434</v>
      </c>
    </row>
    <row r="6" spans="1:15">
      <c r="A6" s="2">
        <v>0.5</v>
      </c>
      <c r="B6" s="3">
        <v>5</v>
      </c>
      <c r="C6" s="3">
        <v>5</v>
      </c>
      <c r="D6" s="3">
        <v>6</v>
      </c>
      <c r="E6" s="3">
        <v>4</v>
      </c>
      <c r="F6" s="3">
        <v>52</v>
      </c>
      <c r="G6" s="3">
        <v>94</v>
      </c>
      <c r="H6" s="3">
        <v>175</v>
      </c>
      <c r="I6" s="3">
        <v>250</v>
      </c>
      <c r="J6" s="3">
        <v>105</v>
      </c>
      <c r="K6" s="3">
        <v>20</v>
      </c>
      <c r="L6" s="3">
        <v>7</v>
      </c>
      <c r="M6" s="3">
        <v>2</v>
      </c>
      <c r="N6" s="3">
        <f t="shared" si="0"/>
        <v>725</v>
      </c>
      <c r="O6" s="3">
        <f t="shared" si="1"/>
        <v>530</v>
      </c>
    </row>
    <row r="7" spans="1:15">
      <c r="A7" s="2">
        <v>0.25</v>
      </c>
      <c r="B7" s="3">
        <v>5</v>
      </c>
      <c r="C7" s="3">
        <v>5</v>
      </c>
      <c r="D7" s="3">
        <v>6</v>
      </c>
      <c r="E7" s="3">
        <v>4</v>
      </c>
      <c r="F7" s="3">
        <v>52</v>
      </c>
      <c r="G7" s="3">
        <v>94</v>
      </c>
      <c r="H7" s="3">
        <v>200</v>
      </c>
      <c r="I7" s="3">
        <v>299</v>
      </c>
      <c r="J7" s="3">
        <v>167</v>
      </c>
      <c r="K7" s="3">
        <v>55</v>
      </c>
      <c r="L7" s="3">
        <v>13</v>
      </c>
      <c r="M7" s="3">
        <v>11</v>
      </c>
      <c r="N7" s="3">
        <f t="shared" si="0"/>
        <v>911</v>
      </c>
      <c r="O7" s="3">
        <f t="shared" si="1"/>
        <v>666</v>
      </c>
    </row>
    <row r="8" spans="1:15">
      <c r="A8" s="2">
        <v>0.1</v>
      </c>
      <c r="B8" s="3">
        <v>5</v>
      </c>
      <c r="C8" s="3">
        <v>5</v>
      </c>
      <c r="D8" s="3">
        <v>6</v>
      </c>
      <c r="E8" s="3">
        <v>4</v>
      </c>
      <c r="F8" s="3">
        <v>52</v>
      </c>
      <c r="G8" s="3">
        <v>94</v>
      </c>
      <c r="H8" s="3">
        <v>240</v>
      </c>
      <c r="I8" s="3">
        <v>360</v>
      </c>
      <c r="J8" s="3">
        <v>230</v>
      </c>
      <c r="K8" s="3">
        <v>90</v>
      </c>
      <c r="L8" s="3">
        <v>28</v>
      </c>
      <c r="M8" s="3">
        <v>16</v>
      </c>
      <c r="N8" s="3">
        <f t="shared" si="0"/>
        <v>1130</v>
      </c>
      <c r="O8" s="3">
        <f t="shared" si="1"/>
        <v>830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dimension ref="A1:O10"/>
  <sheetViews>
    <sheetView tabSelected="1" workbookViewId="0">
      <selection activeCell="H3" sqref="B3:H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5</v>
      </c>
      <c r="D3" s="3">
        <v>6</v>
      </c>
      <c r="E3" s="3">
        <v>4</v>
      </c>
      <c r="F3" s="3">
        <v>52</v>
      </c>
      <c r="G3" s="3">
        <v>94</v>
      </c>
      <c r="H3" s="3">
        <v>169</v>
      </c>
      <c r="I3" s="3">
        <v>95</v>
      </c>
      <c r="J3" s="3">
        <v>25</v>
      </c>
      <c r="K3" s="3">
        <v>4</v>
      </c>
      <c r="L3" s="3">
        <v>0</v>
      </c>
      <c r="M3" s="3">
        <v>0</v>
      </c>
      <c r="N3" s="3">
        <f t="shared" ref="N3:N8" si="0">SUM(B3:M3)</f>
        <v>459</v>
      </c>
      <c r="O3" s="3">
        <f>SUM(H3:J3)</f>
        <v>289</v>
      </c>
    </row>
    <row r="4" spans="1:15">
      <c r="A4" s="2">
        <v>0.9</v>
      </c>
      <c r="B4" s="3">
        <v>5</v>
      </c>
      <c r="C4" s="3">
        <v>5</v>
      </c>
      <c r="D4" s="3">
        <v>6</v>
      </c>
      <c r="E4" s="3">
        <v>4</v>
      </c>
      <c r="F4" s="3">
        <v>52</v>
      </c>
      <c r="G4" s="3">
        <v>94</v>
      </c>
      <c r="H4" s="3">
        <v>169</v>
      </c>
      <c r="I4" s="3">
        <v>120</v>
      </c>
      <c r="J4" s="3">
        <v>35</v>
      </c>
      <c r="K4" s="3">
        <v>6</v>
      </c>
      <c r="L4" s="3">
        <v>1</v>
      </c>
      <c r="M4" s="3">
        <v>0</v>
      </c>
      <c r="N4" s="3">
        <f t="shared" si="0"/>
        <v>497</v>
      </c>
      <c r="O4" s="3">
        <f t="shared" ref="O4:O8" si="1">SUM(H4:J4)</f>
        <v>324</v>
      </c>
    </row>
    <row r="5" spans="1:15">
      <c r="A5" s="2">
        <v>0.75</v>
      </c>
      <c r="B5" s="3">
        <v>5</v>
      </c>
      <c r="C5" s="3">
        <v>5</v>
      </c>
      <c r="D5" s="3">
        <v>6</v>
      </c>
      <c r="E5" s="3">
        <v>4</v>
      </c>
      <c r="F5" s="3">
        <v>52</v>
      </c>
      <c r="G5" s="3">
        <v>94</v>
      </c>
      <c r="H5" s="3">
        <v>169</v>
      </c>
      <c r="I5" s="3">
        <v>158</v>
      </c>
      <c r="J5" s="3">
        <v>42</v>
      </c>
      <c r="K5" s="3">
        <v>8</v>
      </c>
      <c r="L5" s="3">
        <v>2</v>
      </c>
      <c r="M5" s="3">
        <v>0</v>
      </c>
      <c r="N5" s="3">
        <f t="shared" si="0"/>
        <v>545</v>
      </c>
      <c r="O5" s="3">
        <f t="shared" si="1"/>
        <v>369</v>
      </c>
    </row>
    <row r="6" spans="1:15">
      <c r="A6" s="2">
        <v>0.5</v>
      </c>
      <c r="B6" s="3">
        <v>5</v>
      </c>
      <c r="C6" s="3">
        <v>5</v>
      </c>
      <c r="D6" s="3">
        <v>6</v>
      </c>
      <c r="E6" s="3">
        <v>4</v>
      </c>
      <c r="F6" s="3">
        <v>52</v>
      </c>
      <c r="G6" s="3">
        <v>94</v>
      </c>
      <c r="H6" s="3">
        <v>169</v>
      </c>
      <c r="I6" s="3">
        <v>200</v>
      </c>
      <c r="J6" s="3">
        <v>50</v>
      </c>
      <c r="K6" s="3">
        <v>11</v>
      </c>
      <c r="L6" s="3">
        <v>3</v>
      </c>
      <c r="M6" s="3">
        <v>1</v>
      </c>
      <c r="N6" s="3">
        <f t="shared" si="0"/>
        <v>600</v>
      </c>
      <c r="O6" s="3">
        <f t="shared" si="1"/>
        <v>419</v>
      </c>
    </row>
    <row r="7" spans="1:15">
      <c r="A7" s="2">
        <v>0.25</v>
      </c>
      <c r="B7" s="3">
        <v>5</v>
      </c>
      <c r="C7" s="3">
        <v>5</v>
      </c>
      <c r="D7" s="3">
        <v>6</v>
      </c>
      <c r="E7" s="3">
        <v>4</v>
      </c>
      <c r="F7" s="3">
        <v>52</v>
      </c>
      <c r="G7" s="3">
        <v>94</v>
      </c>
      <c r="H7" s="3">
        <v>169</v>
      </c>
      <c r="I7" s="3">
        <v>237</v>
      </c>
      <c r="J7" s="3">
        <v>85</v>
      </c>
      <c r="K7" s="3">
        <v>16</v>
      </c>
      <c r="L7" s="3">
        <v>7</v>
      </c>
      <c r="M7" s="3">
        <v>5</v>
      </c>
      <c r="N7" s="3">
        <f t="shared" si="0"/>
        <v>685</v>
      </c>
      <c r="O7" s="3">
        <f t="shared" si="1"/>
        <v>491</v>
      </c>
    </row>
    <row r="8" spans="1:15">
      <c r="A8" s="2">
        <v>0.1</v>
      </c>
      <c r="B8" s="3">
        <v>5</v>
      </c>
      <c r="C8" s="3">
        <v>5</v>
      </c>
      <c r="D8" s="3">
        <v>6</v>
      </c>
      <c r="E8" s="3">
        <v>4</v>
      </c>
      <c r="F8" s="3">
        <v>52</v>
      </c>
      <c r="G8" s="3">
        <v>94</v>
      </c>
      <c r="H8" s="3">
        <v>169</v>
      </c>
      <c r="I8" s="3">
        <v>275</v>
      </c>
      <c r="J8" s="3">
        <v>124</v>
      </c>
      <c r="K8" s="3">
        <v>22</v>
      </c>
      <c r="L8" s="3">
        <v>11</v>
      </c>
      <c r="M8" s="3">
        <v>9</v>
      </c>
      <c r="N8" s="3">
        <f t="shared" si="0"/>
        <v>776</v>
      </c>
      <c r="O8" s="3">
        <f t="shared" si="1"/>
        <v>568</v>
      </c>
    </row>
    <row r="9" spans="1:15">
      <c r="A9" s="3"/>
      <c r="B9" s="3"/>
      <c r="C9" s="3"/>
      <c r="D9" s="3"/>
      <c r="E9" s="3"/>
      <c r="F9" s="3"/>
      <c r="G9" s="3"/>
      <c r="K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dimension ref="A1:O9"/>
  <sheetViews>
    <sheetView workbookViewId="0">
      <selection sqref="A1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Abbey Hill</cp:lastModifiedBy>
  <dcterms:created xsi:type="dcterms:W3CDTF">2021-12-13T20:28:37Z</dcterms:created>
  <dcterms:modified xsi:type="dcterms:W3CDTF">2022-02-01T21:48:55Z</dcterms:modified>
</cp:coreProperties>
</file>