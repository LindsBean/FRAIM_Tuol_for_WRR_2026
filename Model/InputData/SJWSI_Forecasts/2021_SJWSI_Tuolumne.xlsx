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Tuolumne_Model/SJWSI_Forcasts/"/>
    </mc:Choice>
  </mc:AlternateContent>
  <xr:revisionPtr revIDLastSave="0" documentId="13_ncr:1_{4A70624C-2629-4B4D-92C3-AAFCB7344B34}" xr6:coauthVersionLast="47" xr6:coauthVersionMax="47" xr10:uidLastSave="{00000000-0000-0000-0000-000000000000}"/>
  <bookViews>
    <workbookView xWindow="1220" yWindow="6740" windowWidth="26400" windowHeight="10640" activeTab="5" xr2:uid="{E3464FCA-350C-0642-85C6-D26DFC4161D1}"/>
  </bookViews>
  <sheets>
    <sheet name="Dec1" sheetId="1" r:id="rId1"/>
    <sheet name="Jan1" sheetId="2" r:id="rId2"/>
    <sheet name="Feb1" sheetId="3" r:id="rId3"/>
    <sheet name="Mar1" sheetId="4" r:id="rId4"/>
    <sheet name="Apr1" sheetId="5" r:id="rId5"/>
    <sheet name="May1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5" l="1"/>
  <c r="O5" i="5"/>
  <c r="O6" i="5"/>
  <c r="O7" i="5"/>
  <c r="O8" i="5"/>
  <c r="O3" i="5"/>
  <c r="O4" i="4"/>
  <c r="O5" i="4"/>
  <c r="O6" i="4"/>
  <c r="O7" i="4"/>
  <c r="O8" i="4"/>
  <c r="O3" i="4"/>
  <c r="O4" i="3"/>
  <c r="O5" i="3"/>
  <c r="O6" i="3"/>
  <c r="O7" i="3"/>
  <c r="O8" i="3"/>
  <c r="O3" i="3"/>
  <c r="O4" i="2"/>
  <c r="O5" i="2"/>
  <c r="O6" i="2"/>
  <c r="O7" i="2"/>
  <c r="O8" i="2"/>
  <c r="O3" i="2"/>
  <c r="O4" i="1"/>
  <c r="O5" i="1"/>
  <c r="O6" i="1"/>
  <c r="O7" i="1"/>
  <c r="O8" i="1"/>
  <c r="O3" i="1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  <c r="N8" i="3"/>
  <c r="N7" i="3"/>
  <c r="N6" i="3"/>
  <c r="N5" i="3"/>
  <c r="N4" i="3"/>
  <c r="N3" i="3"/>
  <c r="N8" i="2"/>
  <c r="N7" i="2"/>
  <c r="N6" i="2"/>
  <c r="N5" i="2"/>
  <c r="N4" i="2"/>
  <c r="N3" i="2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<sst xmlns="http://schemas.openxmlformats.org/spreadsheetml/2006/main" count="102" uniqueCount="17">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</sst>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  <font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5A25-0933-2246-82A4-E3359A6AE3B8}">
  <dimension ref="A1:O9"/>
  <sheetViews>
    <sheetView workbookViewId="0">
      <selection activeCell="N9" sqref="N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6</v>
      </c>
      <c r="C3" s="3">
        <v>1</v>
      </c>
      <c r="D3" s="3">
        <v>14</v>
      </c>
      <c r="E3">
        <v>17</v>
      </c>
      <c r="F3">
        <v>30</v>
      </c>
      <c r="G3">
        <v>49</v>
      </c>
      <c r="H3">
        <v>85</v>
      </c>
      <c r="I3">
        <v>110</v>
      </c>
      <c r="J3">
        <v>50</v>
      </c>
      <c r="K3">
        <v>10</v>
      </c>
      <c r="L3">
        <v>4</v>
      </c>
      <c r="M3">
        <v>3</v>
      </c>
      <c r="N3" s="3">
        <f>SUM(B3:M3)</f>
        <v>379</v>
      </c>
      <c r="O3" s="3">
        <f>SUM(H3:J3)</f>
        <v>245</v>
      </c>
    </row>
    <row r="4" spans="1:15">
      <c r="A4" s="2">
        <v>0.9</v>
      </c>
      <c r="B4" s="3">
        <v>6</v>
      </c>
      <c r="C4" s="3">
        <v>1</v>
      </c>
      <c r="D4" s="3">
        <v>20</v>
      </c>
      <c r="E4">
        <v>27</v>
      </c>
      <c r="F4">
        <v>48</v>
      </c>
      <c r="G4">
        <v>76</v>
      </c>
      <c r="H4">
        <v>135</v>
      </c>
      <c r="I4">
        <v>172</v>
      </c>
      <c r="J4">
        <v>80</v>
      </c>
      <c r="K4">
        <v>18</v>
      </c>
      <c r="L4">
        <v>7</v>
      </c>
      <c r="M4">
        <v>6</v>
      </c>
      <c r="N4" s="3">
        <f>SUM(B4:M4)</f>
        <v>596</v>
      </c>
      <c r="O4" s="3">
        <f t="shared" ref="O4:O8" si="0">SUM(H4:J4)</f>
        <v>387</v>
      </c>
    </row>
    <row r="5" spans="1:15">
      <c r="A5" s="2">
        <v>0.75</v>
      </c>
      <c r="B5" s="3">
        <v>6</v>
      </c>
      <c r="C5" s="3">
        <v>1</v>
      </c>
      <c r="D5" s="3">
        <v>34</v>
      </c>
      <c r="E5">
        <v>51</v>
      </c>
      <c r="F5">
        <v>80</v>
      </c>
      <c r="G5">
        <v>110</v>
      </c>
      <c r="H5">
        <v>170</v>
      </c>
      <c r="I5">
        <v>260</v>
      </c>
      <c r="J5">
        <v>165</v>
      </c>
      <c r="K5">
        <v>40</v>
      </c>
      <c r="L5">
        <v>13</v>
      </c>
      <c r="M5">
        <v>11</v>
      </c>
      <c r="N5" s="3">
        <f>SUM(B5:M5)</f>
        <v>941</v>
      </c>
      <c r="O5" s="3">
        <f t="shared" si="0"/>
        <v>595</v>
      </c>
    </row>
    <row r="6" spans="1:15">
      <c r="A6" s="2">
        <v>0.5</v>
      </c>
      <c r="B6" s="3">
        <v>6</v>
      </c>
      <c r="C6" s="3">
        <v>1</v>
      </c>
      <c r="D6" s="3">
        <v>58</v>
      </c>
      <c r="E6">
        <v>86</v>
      </c>
      <c r="F6">
        <v>114</v>
      </c>
      <c r="G6">
        <v>149</v>
      </c>
      <c r="H6">
        <v>200</v>
      </c>
      <c r="I6">
        <v>345</v>
      </c>
      <c r="J6">
        <v>245</v>
      </c>
      <c r="K6">
        <v>60</v>
      </c>
      <c r="L6">
        <v>21</v>
      </c>
      <c r="M6">
        <v>15</v>
      </c>
      <c r="N6" s="3">
        <f>SUM(B6:M6)</f>
        <v>1300</v>
      </c>
      <c r="O6" s="3">
        <f t="shared" si="0"/>
        <v>790</v>
      </c>
    </row>
    <row r="7" spans="1:15">
      <c r="A7" s="2">
        <v>0.25</v>
      </c>
      <c r="B7" s="3">
        <v>6</v>
      </c>
      <c r="C7" s="3">
        <v>1</v>
      </c>
      <c r="D7" s="3">
        <v>131</v>
      </c>
      <c r="E7">
        <v>166</v>
      </c>
      <c r="F7">
        <v>168</v>
      </c>
      <c r="G7">
        <v>202</v>
      </c>
      <c r="H7">
        <v>250</v>
      </c>
      <c r="I7">
        <v>425</v>
      </c>
      <c r="J7">
        <v>370</v>
      </c>
      <c r="K7">
        <v>145</v>
      </c>
      <c r="L7">
        <v>35</v>
      </c>
      <c r="M7">
        <v>21</v>
      </c>
      <c r="N7" s="3">
        <f>SUM(B7:M7)</f>
        <v>1920</v>
      </c>
      <c r="O7" s="3">
        <f t="shared" si="0"/>
        <v>1045</v>
      </c>
    </row>
    <row r="8" spans="1:15">
      <c r="A8" s="2">
        <v>0.1</v>
      </c>
      <c r="B8" s="3">
        <v>6</v>
      </c>
      <c r="C8" s="3">
        <v>1</v>
      </c>
      <c r="D8" s="3">
        <v>157</v>
      </c>
      <c r="E8">
        <v>259</v>
      </c>
      <c r="F8">
        <v>217</v>
      </c>
      <c r="G8">
        <v>264</v>
      </c>
      <c r="H8">
        <v>300</v>
      </c>
      <c r="I8">
        <v>500</v>
      </c>
      <c r="J8">
        <v>490</v>
      </c>
      <c r="K8">
        <v>225</v>
      </c>
      <c r="L8">
        <v>51</v>
      </c>
      <c r="M8">
        <v>25</v>
      </c>
      <c r="N8" s="3">
        <f>SUM(B8:M8)</f>
        <v>2495</v>
      </c>
      <c r="O8" s="3">
        <f t="shared" si="0"/>
        <v>1290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1909</v>
      </c>
      <c r="O9" s="3">
        <v>1193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6D6-9490-F042-A5DA-B62F1766AAAB}">
  <dimension ref="A1:O9"/>
  <sheetViews>
    <sheetView workbookViewId="0">
      <selection activeCell="O15" sqref="O15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6</v>
      </c>
      <c r="C3" s="3">
        <v>1</v>
      </c>
      <c r="D3" s="3">
        <v>14</v>
      </c>
      <c r="E3">
        <v>16</v>
      </c>
      <c r="F3">
        <v>22</v>
      </c>
      <c r="G3">
        <v>35</v>
      </c>
      <c r="H3">
        <v>80</v>
      </c>
      <c r="I3">
        <v>100</v>
      </c>
      <c r="J3">
        <v>30</v>
      </c>
      <c r="K3">
        <v>10</v>
      </c>
      <c r="L3">
        <v>4</v>
      </c>
      <c r="M3">
        <v>3</v>
      </c>
      <c r="N3" s="3">
        <f>SUM(B3:M3)</f>
        <v>321</v>
      </c>
      <c r="O3" s="3">
        <f>SUM(H3:J3)</f>
        <v>210</v>
      </c>
    </row>
    <row r="4" spans="1:15">
      <c r="A4" s="2">
        <v>0.9</v>
      </c>
      <c r="B4" s="3">
        <v>6</v>
      </c>
      <c r="C4" s="3">
        <v>1</v>
      </c>
      <c r="D4" s="3">
        <v>14</v>
      </c>
      <c r="E4">
        <v>25</v>
      </c>
      <c r="F4">
        <v>44</v>
      </c>
      <c r="G4">
        <v>70</v>
      </c>
      <c r="H4">
        <v>120</v>
      </c>
      <c r="I4">
        <v>155</v>
      </c>
      <c r="J4">
        <v>75</v>
      </c>
      <c r="K4">
        <v>15</v>
      </c>
      <c r="L4">
        <v>6</v>
      </c>
      <c r="M4">
        <v>5</v>
      </c>
      <c r="N4" s="3">
        <f>SUM(B4:M4)</f>
        <v>536</v>
      </c>
      <c r="O4" s="3">
        <f t="shared" ref="O4:O8" si="0">SUM(H4:J4)</f>
        <v>350</v>
      </c>
    </row>
    <row r="5" spans="1:15">
      <c r="A5" s="2">
        <v>0.75</v>
      </c>
      <c r="B5" s="3">
        <v>6</v>
      </c>
      <c r="C5" s="3">
        <v>1</v>
      </c>
      <c r="D5" s="3">
        <v>14</v>
      </c>
      <c r="E5">
        <v>37</v>
      </c>
      <c r="F5">
        <v>66</v>
      </c>
      <c r="G5">
        <v>102</v>
      </c>
      <c r="H5">
        <v>170</v>
      </c>
      <c r="I5">
        <v>225</v>
      </c>
      <c r="J5">
        <v>110</v>
      </c>
      <c r="K5">
        <v>25</v>
      </c>
      <c r="L5">
        <v>13</v>
      </c>
      <c r="M5">
        <v>11</v>
      </c>
      <c r="N5" s="3">
        <f>SUM(B5:M5)</f>
        <v>780</v>
      </c>
      <c r="O5" s="3">
        <f t="shared" si="0"/>
        <v>505</v>
      </c>
    </row>
    <row r="6" spans="1:15">
      <c r="A6" s="2">
        <v>0.5</v>
      </c>
      <c r="B6" s="3">
        <v>6</v>
      </c>
      <c r="C6" s="3">
        <v>1</v>
      </c>
      <c r="D6" s="3">
        <v>14</v>
      </c>
      <c r="E6">
        <v>55</v>
      </c>
      <c r="F6">
        <v>96</v>
      </c>
      <c r="G6">
        <v>142</v>
      </c>
      <c r="H6">
        <v>205</v>
      </c>
      <c r="I6">
        <v>305</v>
      </c>
      <c r="J6">
        <v>190</v>
      </c>
      <c r="K6">
        <v>40</v>
      </c>
      <c r="L6">
        <v>21</v>
      </c>
      <c r="M6">
        <v>15</v>
      </c>
      <c r="N6" s="3">
        <f>SUM(B6:M6)</f>
        <v>1090</v>
      </c>
      <c r="O6" s="3">
        <f t="shared" si="0"/>
        <v>700</v>
      </c>
    </row>
    <row r="7" spans="1:15">
      <c r="A7" s="2">
        <v>0.25</v>
      </c>
      <c r="B7" s="3">
        <v>6</v>
      </c>
      <c r="C7" s="3">
        <v>1</v>
      </c>
      <c r="D7" s="3">
        <v>14</v>
      </c>
      <c r="E7">
        <v>80</v>
      </c>
      <c r="F7">
        <v>145</v>
      </c>
      <c r="G7">
        <v>207</v>
      </c>
      <c r="H7">
        <v>260</v>
      </c>
      <c r="I7">
        <v>410</v>
      </c>
      <c r="J7">
        <v>315</v>
      </c>
      <c r="K7">
        <v>100</v>
      </c>
      <c r="L7">
        <v>32</v>
      </c>
      <c r="M7">
        <v>21</v>
      </c>
      <c r="N7" s="3">
        <f>SUM(B7:M7)</f>
        <v>1591</v>
      </c>
      <c r="O7" s="3">
        <f t="shared" si="0"/>
        <v>985</v>
      </c>
    </row>
    <row r="8" spans="1:15">
      <c r="A8" s="2">
        <v>0.1</v>
      </c>
      <c r="B8" s="3">
        <v>6</v>
      </c>
      <c r="C8" s="3">
        <v>1</v>
      </c>
      <c r="D8" s="3">
        <v>14</v>
      </c>
      <c r="E8">
        <v>130</v>
      </c>
      <c r="F8">
        <v>190</v>
      </c>
      <c r="G8">
        <v>250</v>
      </c>
      <c r="H8">
        <v>310</v>
      </c>
      <c r="I8">
        <v>500</v>
      </c>
      <c r="J8">
        <v>450</v>
      </c>
      <c r="K8">
        <v>165</v>
      </c>
      <c r="L8">
        <v>44</v>
      </c>
      <c r="M8">
        <v>25</v>
      </c>
      <c r="N8" s="3">
        <f>SUM(B8:M8)</f>
        <v>2085</v>
      </c>
      <c r="O8" s="3">
        <f t="shared" si="0"/>
        <v>1260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1909</v>
      </c>
      <c r="O9" s="3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11EE-B2D6-4343-B5BC-50526D02F88B}">
  <dimension ref="A1:O9"/>
  <sheetViews>
    <sheetView workbookViewId="0">
      <selection activeCell="B3" sqref="B3:E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6</v>
      </c>
      <c r="C3" s="3">
        <v>1</v>
      </c>
      <c r="D3" s="3">
        <v>14</v>
      </c>
      <c r="E3" s="3">
        <v>17</v>
      </c>
      <c r="F3">
        <v>55</v>
      </c>
      <c r="G3">
        <v>81</v>
      </c>
      <c r="H3">
        <v>132</v>
      </c>
      <c r="I3">
        <v>199</v>
      </c>
      <c r="J3">
        <v>132</v>
      </c>
      <c r="K3">
        <v>26</v>
      </c>
      <c r="L3">
        <v>5</v>
      </c>
      <c r="M3">
        <v>2</v>
      </c>
      <c r="N3" s="3">
        <f>SUM(B3:M3)</f>
        <v>670</v>
      </c>
      <c r="O3" s="3">
        <f>SUM(H3:J3)</f>
        <v>463</v>
      </c>
    </row>
    <row r="4" spans="1:15">
      <c r="A4" s="2">
        <v>0.9</v>
      </c>
      <c r="B4" s="3">
        <v>6</v>
      </c>
      <c r="C4" s="3">
        <v>1</v>
      </c>
      <c r="D4" s="3">
        <v>14</v>
      </c>
      <c r="E4" s="3">
        <v>17</v>
      </c>
      <c r="F4">
        <v>67</v>
      </c>
      <c r="G4">
        <v>105</v>
      </c>
      <c r="H4">
        <v>188</v>
      </c>
      <c r="I4">
        <v>286</v>
      </c>
      <c r="J4">
        <v>188</v>
      </c>
      <c r="K4">
        <v>38</v>
      </c>
      <c r="L4">
        <v>7</v>
      </c>
      <c r="M4">
        <v>3</v>
      </c>
      <c r="N4" s="3">
        <f>SUM(B4:M4)</f>
        <v>920</v>
      </c>
      <c r="O4" s="3">
        <f t="shared" ref="O4:O8" si="0">SUM(H4:J4)</f>
        <v>662</v>
      </c>
    </row>
    <row r="5" spans="1:15">
      <c r="A5" s="2">
        <v>0.75</v>
      </c>
      <c r="B5" s="3">
        <v>6</v>
      </c>
      <c r="C5" s="3">
        <v>1</v>
      </c>
      <c r="D5" s="3">
        <v>14</v>
      </c>
      <c r="E5" s="3">
        <v>17</v>
      </c>
      <c r="F5">
        <v>85</v>
      </c>
      <c r="G5">
        <v>125</v>
      </c>
      <c r="H5">
        <v>219</v>
      </c>
      <c r="I5">
        <v>338</v>
      </c>
      <c r="J5">
        <v>219</v>
      </c>
      <c r="K5">
        <v>44</v>
      </c>
      <c r="L5">
        <v>8</v>
      </c>
      <c r="M5">
        <v>4</v>
      </c>
      <c r="N5" s="3">
        <f>SUM(B5:M5)</f>
        <v>1080</v>
      </c>
      <c r="O5" s="3">
        <f t="shared" si="0"/>
        <v>776</v>
      </c>
    </row>
    <row r="6" spans="1:15">
      <c r="A6" s="2">
        <v>0.5</v>
      </c>
      <c r="B6" s="3">
        <v>6</v>
      </c>
      <c r="C6" s="3">
        <v>1</v>
      </c>
      <c r="D6" s="3">
        <v>14</v>
      </c>
      <c r="E6" s="3">
        <v>17</v>
      </c>
      <c r="F6">
        <v>104</v>
      </c>
      <c r="G6">
        <v>153</v>
      </c>
      <c r="H6">
        <v>250</v>
      </c>
      <c r="I6">
        <v>380</v>
      </c>
      <c r="J6">
        <v>250</v>
      </c>
      <c r="K6">
        <v>50</v>
      </c>
      <c r="L6">
        <v>10</v>
      </c>
      <c r="M6">
        <v>5</v>
      </c>
      <c r="N6" s="3">
        <f>SUM(B6:M6)</f>
        <v>1240</v>
      </c>
      <c r="O6" s="3">
        <f t="shared" si="0"/>
        <v>880</v>
      </c>
    </row>
    <row r="7" spans="1:15">
      <c r="A7" s="2">
        <v>0.25</v>
      </c>
      <c r="B7" s="3">
        <v>6</v>
      </c>
      <c r="C7" s="3">
        <v>1</v>
      </c>
      <c r="D7" s="3">
        <v>14</v>
      </c>
      <c r="E7" s="3">
        <v>17</v>
      </c>
      <c r="F7">
        <v>125</v>
      </c>
      <c r="G7">
        <v>180</v>
      </c>
      <c r="H7">
        <v>306</v>
      </c>
      <c r="I7">
        <v>463</v>
      </c>
      <c r="J7">
        <v>306</v>
      </c>
      <c r="K7">
        <v>65</v>
      </c>
      <c r="L7">
        <v>12</v>
      </c>
      <c r="M7">
        <v>6</v>
      </c>
      <c r="N7" s="3">
        <f>SUM(B7:M7)</f>
        <v>1501</v>
      </c>
      <c r="O7" s="3">
        <f t="shared" si="0"/>
        <v>1075</v>
      </c>
    </row>
    <row r="8" spans="1:15">
      <c r="A8" s="2">
        <v>0.1</v>
      </c>
      <c r="B8" s="3">
        <v>6</v>
      </c>
      <c r="C8" s="3">
        <v>1</v>
      </c>
      <c r="D8" s="3">
        <v>14</v>
      </c>
      <c r="E8" s="3">
        <v>17</v>
      </c>
      <c r="F8">
        <v>151</v>
      </c>
      <c r="G8">
        <v>224</v>
      </c>
      <c r="H8">
        <v>363</v>
      </c>
      <c r="I8">
        <v>535</v>
      </c>
      <c r="J8">
        <v>362</v>
      </c>
      <c r="K8">
        <v>90</v>
      </c>
      <c r="L8">
        <v>15</v>
      </c>
      <c r="M8">
        <v>8</v>
      </c>
      <c r="N8" s="3">
        <f>SUM(B8:M8)</f>
        <v>1786</v>
      </c>
      <c r="O8" s="3">
        <f t="shared" si="0"/>
        <v>1260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1909</v>
      </c>
      <c r="O9" s="3">
        <v>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8773-71F6-6A41-97EF-81C258C8C35D}">
  <dimension ref="A1:O9"/>
  <sheetViews>
    <sheetView workbookViewId="0">
      <selection activeCell="B3" sqref="B3:F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6</v>
      </c>
      <c r="C3" s="3">
        <v>1</v>
      </c>
      <c r="D3" s="3">
        <v>14</v>
      </c>
      <c r="E3" s="3">
        <v>17</v>
      </c>
      <c r="F3" s="3">
        <v>39</v>
      </c>
      <c r="G3" s="3">
        <v>61</v>
      </c>
      <c r="H3">
        <v>125</v>
      </c>
      <c r="I3">
        <v>164</v>
      </c>
      <c r="J3">
        <v>40</v>
      </c>
      <c r="K3">
        <v>11</v>
      </c>
      <c r="L3">
        <v>2</v>
      </c>
      <c r="M3">
        <v>0</v>
      </c>
      <c r="N3" s="3">
        <f>SUM(B3:M3)</f>
        <v>480</v>
      </c>
      <c r="O3" s="3">
        <f>SUM(H3:J3)</f>
        <v>329</v>
      </c>
    </row>
    <row r="4" spans="1:15">
      <c r="A4" s="2">
        <v>0.9</v>
      </c>
      <c r="B4" s="3">
        <v>6</v>
      </c>
      <c r="C4" s="3">
        <v>1</v>
      </c>
      <c r="D4" s="3">
        <v>14</v>
      </c>
      <c r="E4" s="3">
        <v>17</v>
      </c>
      <c r="F4" s="3">
        <v>39</v>
      </c>
      <c r="G4" s="3">
        <v>79</v>
      </c>
      <c r="H4">
        <v>170</v>
      </c>
      <c r="I4">
        <v>225</v>
      </c>
      <c r="J4">
        <v>80</v>
      </c>
      <c r="K4">
        <v>15</v>
      </c>
      <c r="L4">
        <v>3</v>
      </c>
      <c r="M4">
        <v>1</v>
      </c>
      <c r="N4" s="3">
        <f>SUM(B4:M4)</f>
        <v>650</v>
      </c>
      <c r="O4" s="3">
        <f t="shared" ref="O4:O8" si="0">SUM(H4:J4)</f>
        <v>475</v>
      </c>
    </row>
    <row r="5" spans="1:15">
      <c r="A5" s="2">
        <v>0.75</v>
      </c>
      <c r="B5" s="3">
        <v>6</v>
      </c>
      <c r="C5" s="3">
        <v>1</v>
      </c>
      <c r="D5" s="3">
        <v>14</v>
      </c>
      <c r="E5" s="3">
        <v>17</v>
      </c>
      <c r="F5" s="3">
        <v>39</v>
      </c>
      <c r="G5" s="3">
        <v>96</v>
      </c>
      <c r="H5">
        <v>195</v>
      </c>
      <c r="I5">
        <v>275</v>
      </c>
      <c r="J5">
        <v>120</v>
      </c>
      <c r="K5">
        <v>20</v>
      </c>
      <c r="L5">
        <v>5</v>
      </c>
      <c r="M5">
        <v>2</v>
      </c>
      <c r="N5" s="3">
        <f>SUM(B5:M5)</f>
        <v>790</v>
      </c>
      <c r="O5" s="3">
        <f t="shared" si="0"/>
        <v>590</v>
      </c>
    </row>
    <row r="6" spans="1:15">
      <c r="A6" s="2">
        <v>0.5</v>
      </c>
      <c r="B6" s="3">
        <v>6</v>
      </c>
      <c r="C6" s="3">
        <v>1</v>
      </c>
      <c r="D6" s="3">
        <v>14</v>
      </c>
      <c r="E6" s="3">
        <v>17</v>
      </c>
      <c r="F6" s="3">
        <v>39</v>
      </c>
      <c r="G6" s="3">
        <v>113</v>
      </c>
      <c r="H6">
        <v>215</v>
      </c>
      <c r="I6">
        <v>320</v>
      </c>
      <c r="J6">
        <v>160</v>
      </c>
      <c r="K6">
        <v>25</v>
      </c>
      <c r="L6">
        <v>7</v>
      </c>
      <c r="M6">
        <v>3</v>
      </c>
      <c r="N6" s="3">
        <f>SUM(B6:M6)</f>
        <v>920</v>
      </c>
      <c r="O6" s="3">
        <f t="shared" si="0"/>
        <v>695</v>
      </c>
    </row>
    <row r="7" spans="1:15">
      <c r="A7" s="2">
        <v>0.25</v>
      </c>
      <c r="B7" s="3">
        <v>6</v>
      </c>
      <c r="C7" s="3">
        <v>1</v>
      </c>
      <c r="D7" s="3">
        <v>14</v>
      </c>
      <c r="E7" s="3">
        <v>17</v>
      </c>
      <c r="F7" s="3">
        <v>39</v>
      </c>
      <c r="G7" s="3">
        <v>141</v>
      </c>
      <c r="H7">
        <v>245</v>
      </c>
      <c r="I7">
        <v>375</v>
      </c>
      <c r="J7">
        <v>240</v>
      </c>
      <c r="K7">
        <v>45</v>
      </c>
      <c r="L7">
        <v>12</v>
      </c>
      <c r="M7">
        <v>5</v>
      </c>
      <c r="N7" s="3">
        <f>SUM(B7:M7)</f>
        <v>1140</v>
      </c>
      <c r="O7" s="3">
        <f t="shared" si="0"/>
        <v>860</v>
      </c>
    </row>
    <row r="8" spans="1:15">
      <c r="A8" s="2">
        <v>0.1</v>
      </c>
      <c r="B8" s="3">
        <v>6</v>
      </c>
      <c r="C8" s="3">
        <v>1</v>
      </c>
      <c r="D8" s="3">
        <v>14</v>
      </c>
      <c r="E8" s="3">
        <v>17</v>
      </c>
      <c r="F8" s="3">
        <v>39</v>
      </c>
      <c r="G8" s="3">
        <v>165</v>
      </c>
      <c r="H8">
        <v>275</v>
      </c>
      <c r="I8">
        <v>425</v>
      </c>
      <c r="J8">
        <v>320</v>
      </c>
      <c r="K8">
        <v>70</v>
      </c>
      <c r="L8">
        <v>16</v>
      </c>
      <c r="M8">
        <v>7</v>
      </c>
      <c r="N8" s="3">
        <f>SUM(B8:M8)</f>
        <v>1355</v>
      </c>
      <c r="O8" s="3">
        <f t="shared" si="0"/>
        <v>1020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1909</v>
      </c>
      <c r="O9" s="3">
        <v>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4DE8-ADD5-2B43-9345-248AC7AA202A}">
  <dimension ref="A1:O9"/>
  <sheetViews>
    <sheetView workbookViewId="0">
      <selection activeCell="B3" sqref="B3:G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6</v>
      </c>
      <c r="C3" s="3">
        <v>1</v>
      </c>
      <c r="D3" s="3">
        <v>14</v>
      </c>
      <c r="E3" s="3">
        <v>17</v>
      </c>
      <c r="F3" s="3">
        <v>39</v>
      </c>
      <c r="G3" s="3">
        <v>69</v>
      </c>
      <c r="H3">
        <v>121</v>
      </c>
      <c r="I3">
        <v>165</v>
      </c>
      <c r="J3">
        <v>76</v>
      </c>
      <c r="K3">
        <v>10</v>
      </c>
      <c r="L3">
        <v>2</v>
      </c>
      <c r="M3">
        <v>1</v>
      </c>
      <c r="N3" s="3">
        <f>SUM(B3:M3)</f>
        <v>521</v>
      </c>
      <c r="O3" s="3">
        <f>SUM(H3:J3)</f>
        <v>362</v>
      </c>
    </row>
    <row r="4" spans="1:15">
      <c r="A4" s="2">
        <v>0.9</v>
      </c>
      <c r="B4" s="3">
        <v>6</v>
      </c>
      <c r="C4" s="3">
        <v>1</v>
      </c>
      <c r="D4" s="3">
        <v>14</v>
      </c>
      <c r="E4" s="3">
        <v>17</v>
      </c>
      <c r="F4" s="3">
        <v>39</v>
      </c>
      <c r="G4" s="3">
        <v>69</v>
      </c>
      <c r="H4">
        <v>139</v>
      </c>
      <c r="I4">
        <v>219</v>
      </c>
      <c r="J4">
        <v>98</v>
      </c>
      <c r="K4">
        <v>14</v>
      </c>
      <c r="L4">
        <v>3</v>
      </c>
      <c r="M4">
        <v>2</v>
      </c>
      <c r="N4" s="3">
        <f>SUM(B4:M4)</f>
        <v>621</v>
      </c>
      <c r="O4" s="3">
        <f t="shared" ref="O4:O8" si="0">SUM(H4:J4)</f>
        <v>456</v>
      </c>
    </row>
    <row r="5" spans="1:15">
      <c r="A5" s="2">
        <v>0.75</v>
      </c>
      <c r="B5" s="3">
        <v>6</v>
      </c>
      <c r="C5" s="3">
        <v>1</v>
      </c>
      <c r="D5" s="3">
        <v>14</v>
      </c>
      <c r="E5" s="3">
        <v>17</v>
      </c>
      <c r="F5" s="3">
        <v>39</v>
      </c>
      <c r="G5" s="3">
        <v>69</v>
      </c>
      <c r="H5">
        <v>166</v>
      </c>
      <c r="I5">
        <v>261</v>
      </c>
      <c r="J5">
        <v>117</v>
      </c>
      <c r="K5">
        <v>16</v>
      </c>
      <c r="L5">
        <v>7</v>
      </c>
      <c r="M5">
        <v>3</v>
      </c>
      <c r="N5" s="3">
        <f>SUM(B5:M5)</f>
        <v>716</v>
      </c>
      <c r="O5" s="3">
        <f t="shared" si="0"/>
        <v>544</v>
      </c>
    </row>
    <row r="6" spans="1:15">
      <c r="A6" s="2">
        <v>0.5</v>
      </c>
      <c r="B6" s="3">
        <v>6</v>
      </c>
      <c r="C6" s="3">
        <v>1</v>
      </c>
      <c r="D6" s="3">
        <v>14</v>
      </c>
      <c r="E6" s="3">
        <v>17</v>
      </c>
      <c r="F6" s="3">
        <v>39</v>
      </c>
      <c r="G6" s="3">
        <v>69</v>
      </c>
      <c r="H6">
        <v>192</v>
      </c>
      <c r="I6">
        <v>303</v>
      </c>
      <c r="J6">
        <v>135</v>
      </c>
      <c r="K6">
        <v>20</v>
      </c>
      <c r="L6">
        <v>7</v>
      </c>
      <c r="M6">
        <v>3</v>
      </c>
      <c r="N6" s="3">
        <f>SUM(B6:M6)</f>
        <v>806</v>
      </c>
      <c r="O6" s="3">
        <f t="shared" si="0"/>
        <v>630</v>
      </c>
    </row>
    <row r="7" spans="1:15">
      <c r="A7" s="2">
        <v>0.25</v>
      </c>
      <c r="B7" s="3">
        <v>6</v>
      </c>
      <c r="C7" s="3">
        <v>1</v>
      </c>
      <c r="D7" s="3">
        <v>14</v>
      </c>
      <c r="E7" s="3">
        <v>17</v>
      </c>
      <c r="F7" s="3">
        <v>39</v>
      </c>
      <c r="G7" s="3">
        <v>69</v>
      </c>
      <c r="H7">
        <v>224</v>
      </c>
      <c r="I7">
        <v>338</v>
      </c>
      <c r="J7">
        <v>198</v>
      </c>
      <c r="K7">
        <v>35</v>
      </c>
      <c r="L7">
        <v>9</v>
      </c>
      <c r="M7">
        <v>6</v>
      </c>
      <c r="N7" s="3">
        <f>SUM(B7:M7)</f>
        <v>956</v>
      </c>
      <c r="O7" s="3">
        <f t="shared" si="0"/>
        <v>760</v>
      </c>
    </row>
    <row r="8" spans="1:15">
      <c r="A8" s="2">
        <v>0.1</v>
      </c>
      <c r="B8" s="3">
        <v>6</v>
      </c>
      <c r="C8" s="3">
        <v>1</v>
      </c>
      <c r="D8" s="3">
        <v>14</v>
      </c>
      <c r="E8" s="3">
        <v>17</v>
      </c>
      <c r="F8" s="3">
        <v>39</v>
      </c>
      <c r="G8" s="3">
        <v>69</v>
      </c>
      <c r="H8">
        <v>255</v>
      </c>
      <c r="I8">
        <v>375</v>
      </c>
      <c r="J8">
        <v>250</v>
      </c>
      <c r="K8">
        <v>60</v>
      </c>
      <c r="L8">
        <v>13</v>
      </c>
      <c r="M8">
        <v>7</v>
      </c>
      <c r="N8" s="3">
        <f>SUM(B8:M8)</f>
        <v>1106</v>
      </c>
      <c r="O8" s="3">
        <f t="shared" si="0"/>
        <v>880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1909</v>
      </c>
      <c r="O9" s="3">
        <v>1193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4DF0-4037-C748-AE63-562CA30C8E16}">
  <dimension ref="A1:O9"/>
  <sheetViews>
    <sheetView tabSelected="1" workbookViewId="0">
      <selection activeCell="A11" sqref="A11:XFD11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6</v>
      </c>
      <c r="C3" s="3">
        <v>1</v>
      </c>
      <c r="D3" s="3">
        <v>14</v>
      </c>
      <c r="E3" s="3">
        <v>17</v>
      </c>
      <c r="F3" s="3">
        <v>39</v>
      </c>
      <c r="G3" s="3">
        <v>69</v>
      </c>
      <c r="H3" s="3">
        <v>183</v>
      </c>
      <c r="I3">
        <v>130</v>
      </c>
      <c r="J3">
        <v>65</v>
      </c>
      <c r="K3">
        <v>14</v>
      </c>
      <c r="L3">
        <v>2</v>
      </c>
      <c r="M3">
        <v>1</v>
      </c>
      <c r="N3" s="3">
        <f>SUM(B3:M3)</f>
        <v>541</v>
      </c>
      <c r="O3" s="3">
        <f>SUM(H3:J3)</f>
        <v>378</v>
      </c>
    </row>
    <row r="4" spans="1:15">
      <c r="A4" s="2">
        <v>0.9</v>
      </c>
      <c r="B4" s="3">
        <v>6</v>
      </c>
      <c r="C4" s="3">
        <v>1</v>
      </c>
      <c r="D4" s="3">
        <v>14</v>
      </c>
      <c r="E4" s="3">
        <v>17</v>
      </c>
      <c r="F4" s="3">
        <v>39</v>
      </c>
      <c r="G4" s="3">
        <v>69</v>
      </c>
      <c r="H4" s="3">
        <v>183</v>
      </c>
      <c r="I4">
        <v>161</v>
      </c>
      <c r="J4">
        <v>70</v>
      </c>
      <c r="K4">
        <v>16</v>
      </c>
      <c r="L4">
        <v>3</v>
      </c>
      <c r="M4">
        <v>2</v>
      </c>
      <c r="N4" s="3">
        <f>SUM(B4:M4)</f>
        <v>581</v>
      </c>
      <c r="O4" s="3">
        <f>SUM(H4:J4)</f>
        <v>414</v>
      </c>
    </row>
    <row r="5" spans="1:15">
      <c r="A5" s="2">
        <v>0.75</v>
      </c>
      <c r="B5" s="3">
        <v>6</v>
      </c>
      <c r="C5" s="3">
        <v>1</v>
      </c>
      <c r="D5" s="3">
        <v>14</v>
      </c>
      <c r="E5" s="3">
        <v>17</v>
      </c>
      <c r="F5" s="3">
        <v>39</v>
      </c>
      <c r="G5" s="3">
        <v>69</v>
      </c>
      <c r="H5" s="3">
        <v>183</v>
      </c>
      <c r="I5">
        <v>195</v>
      </c>
      <c r="J5">
        <v>74</v>
      </c>
      <c r="K5">
        <v>18</v>
      </c>
      <c r="L5">
        <v>5</v>
      </c>
      <c r="M5">
        <v>4</v>
      </c>
      <c r="N5" s="3">
        <f>SUM(B5:M5)</f>
        <v>625</v>
      </c>
      <c r="O5" s="3">
        <f>SUM(H5:J5)</f>
        <v>452</v>
      </c>
    </row>
    <row r="6" spans="1:15">
      <c r="A6" s="2">
        <v>0.5</v>
      </c>
      <c r="B6" s="3">
        <v>6</v>
      </c>
      <c r="C6" s="3">
        <v>1</v>
      </c>
      <c r="D6" s="3">
        <v>14</v>
      </c>
      <c r="E6" s="3">
        <v>17</v>
      </c>
      <c r="F6" s="3">
        <v>39</v>
      </c>
      <c r="G6" s="3">
        <v>69</v>
      </c>
      <c r="H6" s="3">
        <v>183</v>
      </c>
      <c r="I6">
        <v>237</v>
      </c>
      <c r="J6">
        <v>80</v>
      </c>
      <c r="K6">
        <v>20</v>
      </c>
      <c r="L6">
        <v>6</v>
      </c>
      <c r="M6">
        <v>4</v>
      </c>
      <c r="N6" s="3">
        <f>SUM(B6:M6)</f>
        <v>676</v>
      </c>
      <c r="O6" s="3">
        <f>SUM(H6:J6)</f>
        <v>500</v>
      </c>
    </row>
    <row r="7" spans="1:15">
      <c r="A7" s="2">
        <v>0.25</v>
      </c>
      <c r="B7" s="3">
        <v>6</v>
      </c>
      <c r="C7" s="3">
        <v>1</v>
      </c>
      <c r="D7" s="3">
        <v>14</v>
      </c>
      <c r="E7" s="3">
        <v>17</v>
      </c>
      <c r="F7" s="3">
        <v>39</v>
      </c>
      <c r="G7" s="3">
        <v>69</v>
      </c>
      <c r="H7" s="3">
        <v>183</v>
      </c>
      <c r="I7">
        <v>265</v>
      </c>
      <c r="J7">
        <v>118</v>
      </c>
      <c r="K7">
        <v>26</v>
      </c>
      <c r="L7">
        <v>7</v>
      </c>
      <c r="M7">
        <v>6</v>
      </c>
      <c r="N7" s="3">
        <f>SUM(B7:M7)</f>
        <v>751</v>
      </c>
      <c r="O7" s="3">
        <f>SUM(H7:J7)</f>
        <v>566</v>
      </c>
    </row>
    <row r="8" spans="1:15">
      <c r="A8" s="2">
        <v>0.1</v>
      </c>
      <c r="B8" s="3">
        <v>6</v>
      </c>
      <c r="C8" s="3">
        <v>1</v>
      </c>
      <c r="D8" s="3">
        <v>14</v>
      </c>
      <c r="E8" s="3">
        <v>17</v>
      </c>
      <c r="F8" s="3">
        <v>39</v>
      </c>
      <c r="G8" s="3">
        <v>69</v>
      </c>
      <c r="H8" s="3">
        <v>183</v>
      </c>
      <c r="I8">
        <v>295</v>
      </c>
      <c r="J8">
        <v>150</v>
      </c>
      <c r="K8">
        <v>32</v>
      </c>
      <c r="L8">
        <v>8</v>
      </c>
      <c r="M8">
        <v>7</v>
      </c>
      <c r="N8" s="3">
        <f>SUM(B8:M8)</f>
        <v>821</v>
      </c>
      <c r="O8" s="3">
        <f>SUM(H8:J8)</f>
        <v>628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1909</v>
      </c>
      <c r="O9" s="3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Dec1</vt:lpstr>
      <vt:lpstr>Jan1</vt:lpstr>
      <vt:lpstr>Feb1</vt:lpstr>
      <vt:lpstr>Mar1</vt:lpstr>
      <vt:lpstr>Apr1</vt:lpstr>
      <vt:lpstr>May1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Evelyn Murdoch</cp:lastModifiedBy>
  <dcterms:created xsi:type="dcterms:W3CDTF">2021-12-17T02:28:11Z</dcterms:created>
  <dcterms:modified xsi:type="dcterms:W3CDTF">2021-12-17T02:53:34Z</dcterms:modified>
</cp:coreProperties>
</file>