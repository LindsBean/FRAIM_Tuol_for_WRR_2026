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rality/Desktop/SJWSI_Forcasts/"/>
    </mc:Choice>
  </mc:AlternateContent>
  <xr:revisionPtr revIDLastSave="0" documentId="13_ncr:1_{36F329EC-0D05-814F-9418-5653FDF69E69}" xr6:coauthVersionLast="47" xr6:coauthVersionMax="47" xr10:uidLastSave="{00000000-0000-0000-0000-000000000000}"/>
  <bookViews>
    <workbookView xWindow="520" yWindow="520" windowWidth="25640" windowHeight="9320" activeTab="6" xr2:uid="{3578BA0C-0428-784E-9DCD-2FF2D0CA4835}"/>
  </bookViews>
  <sheets>
    <sheet name="Jan1" sheetId="2" r:id="rId1"/>
    <sheet name="Feb1" sheetId="3" r:id="rId2"/>
    <sheet name="Feb8" sheetId="9" r:id="rId3"/>
    <sheet name="Feb26" sheetId="8" r:id="rId4"/>
    <sheet name="Mar1" sheetId="4" r:id="rId5"/>
    <sheet name="Apr1" sheetId="5" r:id="rId6"/>
    <sheet name="May1" sheetId="7" r:id="rId7"/>
    <sheet name="template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" i="9" l="1"/>
  <c r="N8" i="9"/>
  <c r="O7" i="9"/>
  <c r="N7" i="9"/>
  <c r="O6" i="9"/>
  <c r="N6" i="9"/>
  <c r="O5" i="9"/>
  <c r="N5" i="9"/>
  <c r="O4" i="9"/>
  <c r="N4" i="9"/>
  <c r="O3" i="9"/>
  <c r="N3" i="9"/>
  <c r="O8" i="8"/>
  <c r="N8" i="8"/>
  <c r="O7" i="8"/>
  <c r="N7" i="8"/>
  <c r="O6" i="8"/>
  <c r="N6" i="8"/>
  <c r="O5" i="8"/>
  <c r="N5" i="8"/>
  <c r="O4" i="8"/>
  <c r="N4" i="8"/>
  <c r="O3" i="8"/>
  <c r="N3" i="8"/>
  <c r="O8" i="3"/>
  <c r="N8" i="3"/>
  <c r="O7" i="3"/>
  <c r="N7" i="3"/>
  <c r="O6" i="3"/>
  <c r="N6" i="3"/>
  <c r="O5" i="3"/>
  <c r="N5" i="3"/>
  <c r="O4" i="3"/>
  <c r="N4" i="3"/>
  <c r="O3" i="3"/>
  <c r="N3" i="3"/>
  <c r="O8" i="2"/>
  <c r="N8" i="2"/>
  <c r="O7" i="2"/>
  <c r="N7" i="2"/>
  <c r="O6" i="2"/>
  <c r="N6" i="2"/>
  <c r="O5" i="2"/>
  <c r="N5" i="2"/>
  <c r="O4" i="2"/>
  <c r="N4" i="2"/>
  <c r="O3" i="2"/>
  <c r="N3" i="2"/>
  <c r="O4" i="7"/>
  <c r="O5" i="7"/>
  <c r="O6" i="7"/>
  <c r="O7" i="7"/>
  <c r="O8" i="7"/>
  <c r="N8" i="7"/>
  <c r="N7" i="7"/>
  <c r="N6" i="7"/>
  <c r="N5" i="7"/>
  <c r="N4" i="7"/>
  <c r="O3" i="7"/>
  <c r="N3" i="7"/>
  <c r="O4" i="5"/>
  <c r="O5" i="5"/>
  <c r="O6" i="5"/>
  <c r="O7" i="5"/>
  <c r="O8" i="5"/>
  <c r="O3" i="5"/>
  <c r="O4" i="4"/>
  <c r="O5" i="4"/>
  <c r="O6" i="4"/>
  <c r="O7" i="4"/>
  <c r="O8" i="4"/>
  <c r="O3" i="4"/>
  <c r="O8" i="6"/>
  <c r="N8" i="6"/>
  <c r="O7" i="6"/>
  <c r="N7" i="6"/>
  <c r="O6" i="6"/>
  <c r="N6" i="6"/>
  <c r="O5" i="6"/>
  <c r="N5" i="6"/>
  <c r="O4" i="6"/>
  <c r="N4" i="6"/>
  <c r="O3" i="6"/>
  <c r="N3" i="6"/>
  <c r="N8" i="5"/>
  <c r="N7" i="5"/>
  <c r="N6" i="5"/>
  <c r="N5" i="5"/>
  <c r="N4" i="5"/>
  <c r="N3" i="5"/>
  <c r="N8" i="4"/>
  <c r="N7" i="4"/>
  <c r="N6" i="4"/>
  <c r="N5" i="4"/>
  <c r="N4" i="4"/>
  <c r="N3" i="4"/>
</calcChain>
</file>

<file path=xl/sharedStrings.xml><?xml version="1.0" encoding="utf-8"?>
<sst xmlns="http://schemas.openxmlformats.org/spreadsheetml/2006/main" count="150" uniqueCount="27">
  <si>
    <t xml:space="preserve">Tuolumne River below La Grange Reservoir Unimpaired Flow [taf] </t>
  </si>
  <si>
    <t>WY %Avg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</si>
  <si>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</si>
  <si>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</si>
  <si>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</si>
  <si>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</si>
  <si>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</si>
  <si>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</si>
  <si>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</si>
  <si>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</si>
  <si>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</si>
  <si>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</si>
  <si>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</si>
  <si>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</si>
  <si>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WY</t>
  </si>
  <si>
    <t>Apr-Jun</t>
  </si>
  <si>
    <t xml:space="preserve">1966-2015 avg </t>
  </si>
  <si>
    <t>from</t>
  </si>
  <si>
    <t>110501SJWSI.pdf</t>
  </si>
  <si>
    <t>130101SJWSI.pdf</t>
  </si>
  <si>
    <t xml:space="preserve">from </t>
  </si>
  <si>
    <t xml:space="preserve">1961-2010 avg </t>
  </si>
  <si>
    <t>130201SJWSI.pdf</t>
  </si>
  <si>
    <t>130226SJWSI.pdf</t>
  </si>
  <si>
    <t>130208SJWSI.pdf</t>
  </si>
  <si>
    <t>130301SJWSI.pdf</t>
  </si>
  <si>
    <t>130401SJWSI.pdf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</si>
</sst>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9"/>
      <color rgb="FF000000"/>
      <name val="ArialM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Fill="1" applyAlignment="1">
      <alignment vertical="center"/>
    </xf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8D2C1-E28E-B040-AA05-2812CA44AD7B}">
  <dimension ref="A1:O10"/>
  <sheetViews>
    <sheetView workbookViewId="0">
      <selection activeCell="E3" sqref="E3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3">
        <v>4</v>
      </c>
      <c r="C3" s="3">
        <v>33</v>
      </c>
      <c r="D3" s="3">
        <v>192</v>
      </c>
      <c r="E3" s="3">
        <v>75</v>
      </c>
      <c r="F3" s="3">
        <v>88</v>
      </c>
      <c r="G3" s="3">
        <v>122</v>
      </c>
      <c r="H3" s="3">
        <v>170</v>
      </c>
      <c r="I3" s="3">
        <v>272</v>
      </c>
      <c r="J3" s="3">
        <v>180</v>
      </c>
      <c r="K3" s="3">
        <v>50</v>
      </c>
      <c r="L3" s="3">
        <v>15</v>
      </c>
      <c r="M3" s="3">
        <v>10</v>
      </c>
      <c r="N3" s="3">
        <f>SUM(B3:M3)</f>
        <v>1211</v>
      </c>
      <c r="O3" s="3">
        <f>SUM(H3:J3)</f>
        <v>622</v>
      </c>
    </row>
    <row r="4" spans="1:15">
      <c r="A4" s="2">
        <v>0.9</v>
      </c>
      <c r="B4" s="3">
        <v>4</v>
      </c>
      <c r="C4" s="3">
        <v>33</v>
      </c>
      <c r="D4" s="3">
        <v>192</v>
      </c>
      <c r="E4" s="3">
        <v>101</v>
      </c>
      <c r="F4" s="3">
        <v>123</v>
      </c>
      <c r="G4" s="3">
        <v>154</v>
      </c>
      <c r="H4" s="3">
        <v>197</v>
      </c>
      <c r="I4" s="3">
        <v>310</v>
      </c>
      <c r="J4" s="3">
        <v>240</v>
      </c>
      <c r="K4" s="3">
        <v>72</v>
      </c>
      <c r="L4" s="3">
        <v>20</v>
      </c>
      <c r="M4" s="3">
        <v>14</v>
      </c>
      <c r="N4" s="3">
        <f t="shared" ref="N4:N8" si="0">SUM(B4:M4)</f>
        <v>1460</v>
      </c>
      <c r="O4" s="3">
        <f t="shared" ref="O4:O8" si="1">SUM(H4:J4)</f>
        <v>747</v>
      </c>
    </row>
    <row r="5" spans="1:15">
      <c r="A5" s="2">
        <v>0.75</v>
      </c>
      <c r="B5" s="3">
        <v>4</v>
      </c>
      <c r="C5" s="3">
        <v>33</v>
      </c>
      <c r="D5" s="3">
        <v>192</v>
      </c>
      <c r="E5" s="3">
        <v>145</v>
      </c>
      <c r="F5" s="3">
        <v>154</v>
      </c>
      <c r="G5" s="3">
        <v>187</v>
      </c>
      <c r="H5" s="3">
        <v>230</v>
      </c>
      <c r="I5" s="3">
        <v>370</v>
      </c>
      <c r="J5" s="3">
        <v>310</v>
      </c>
      <c r="K5" s="3">
        <v>105</v>
      </c>
      <c r="L5" s="3">
        <v>31</v>
      </c>
      <c r="M5" s="3">
        <v>19</v>
      </c>
      <c r="N5" s="3">
        <f t="shared" si="0"/>
        <v>1780</v>
      </c>
      <c r="O5" s="3">
        <f t="shared" si="1"/>
        <v>910</v>
      </c>
    </row>
    <row r="6" spans="1:15">
      <c r="A6" s="2">
        <v>0.5</v>
      </c>
      <c r="B6" s="3">
        <v>4</v>
      </c>
      <c r="C6" s="3">
        <v>33</v>
      </c>
      <c r="D6" s="3">
        <v>192</v>
      </c>
      <c r="E6" s="3">
        <v>207</v>
      </c>
      <c r="F6" s="3">
        <v>190</v>
      </c>
      <c r="G6" s="3">
        <v>225</v>
      </c>
      <c r="H6" s="3">
        <v>260</v>
      </c>
      <c r="I6" s="3">
        <v>443</v>
      </c>
      <c r="J6" s="3">
        <v>409</v>
      </c>
      <c r="K6" s="3">
        <v>155</v>
      </c>
      <c r="L6" s="3">
        <v>41</v>
      </c>
      <c r="M6" s="3">
        <v>22</v>
      </c>
      <c r="N6" s="3">
        <f t="shared" si="0"/>
        <v>2181</v>
      </c>
      <c r="O6" s="3">
        <f t="shared" si="1"/>
        <v>1112</v>
      </c>
    </row>
    <row r="7" spans="1:15">
      <c r="A7" s="2">
        <v>0.25</v>
      </c>
      <c r="B7" s="3">
        <v>4</v>
      </c>
      <c r="C7" s="3">
        <v>33</v>
      </c>
      <c r="D7" s="3">
        <v>192</v>
      </c>
      <c r="E7" s="3">
        <v>274</v>
      </c>
      <c r="F7" s="3">
        <v>219</v>
      </c>
      <c r="G7" s="3">
        <v>271</v>
      </c>
      <c r="H7" s="3">
        <v>307</v>
      </c>
      <c r="I7" s="3">
        <v>510</v>
      </c>
      <c r="J7" s="3">
        <v>509</v>
      </c>
      <c r="K7" s="3">
        <v>254</v>
      </c>
      <c r="L7" s="3">
        <v>54</v>
      </c>
      <c r="M7" s="3">
        <v>25</v>
      </c>
      <c r="N7" s="3">
        <f t="shared" si="0"/>
        <v>2652</v>
      </c>
      <c r="O7" s="3">
        <f t="shared" si="1"/>
        <v>1326</v>
      </c>
    </row>
    <row r="8" spans="1:15">
      <c r="A8" s="2">
        <v>0.1</v>
      </c>
      <c r="B8" s="3">
        <v>4</v>
      </c>
      <c r="C8" s="3">
        <v>33</v>
      </c>
      <c r="D8" s="3">
        <v>192</v>
      </c>
      <c r="E8" s="3">
        <v>333</v>
      </c>
      <c r="F8" s="3">
        <v>255</v>
      </c>
      <c r="G8" s="3">
        <v>334</v>
      </c>
      <c r="H8" s="3">
        <v>367</v>
      </c>
      <c r="I8" s="3">
        <v>602</v>
      </c>
      <c r="J8" s="3">
        <v>644</v>
      </c>
      <c r="K8" s="3">
        <v>387</v>
      </c>
      <c r="L8" s="3">
        <v>83</v>
      </c>
      <c r="M8" s="3">
        <v>27</v>
      </c>
      <c r="N8" s="3">
        <f t="shared" si="0"/>
        <v>3261</v>
      </c>
      <c r="O8" s="3">
        <f t="shared" si="1"/>
        <v>1613</v>
      </c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7" t="s">
        <v>21</v>
      </c>
      <c r="N9" s="7">
        <v>1943</v>
      </c>
      <c r="O9" s="8">
        <v>1221</v>
      </c>
    </row>
    <row r="10" spans="1:15">
      <c r="B10" t="s">
        <v>20</v>
      </c>
      <c r="C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85276-B178-A840-9C79-E301C6AF7803}">
  <dimension ref="A1:O17"/>
  <sheetViews>
    <sheetView workbookViewId="0">
      <selection activeCell="E3" sqref="E3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3">
        <v>4</v>
      </c>
      <c r="C3" s="3">
        <v>33</v>
      </c>
      <c r="D3" s="3">
        <v>192</v>
      </c>
      <c r="E3" s="3">
        <v>73</v>
      </c>
      <c r="F3" s="3">
        <v>38</v>
      </c>
      <c r="G3" s="3">
        <v>50</v>
      </c>
      <c r="H3" s="3">
        <v>140</v>
      </c>
      <c r="I3" s="3">
        <v>240</v>
      </c>
      <c r="J3" s="3">
        <v>135</v>
      </c>
      <c r="K3" s="3">
        <v>25</v>
      </c>
      <c r="L3" s="3">
        <v>8</v>
      </c>
      <c r="M3" s="3">
        <v>2</v>
      </c>
      <c r="N3" s="3">
        <f t="shared" ref="N3:N7" si="0">SUM(B3:M3)</f>
        <v>940</v>
      </c>
      <c r="O3" s="3">
        <f>SUM(H3:J3)</f>
        <v>515</v>
      </c>
    </row>
    <row r="4" spans="1:15">
      <c r="A4" s="2">
        <v>0.9</v>
      </c>
      <c r="B4" s="3">
        <v>4</v>
      </c>
      <c r="C4" s="3">
        <v>33</v>
      </c>
      <c r="D4" s="3">
        <v>192</v>
      </c>
      <c r="E4" s="3">
        <v>73</v>
      </c>
      <c r="F4" s="3">
        <v>55</v>
      </c>
      <c r="G4" s="3">
        <v>70</v>
      </c>
      <c r="H4" s="3">
        <v>190</v>
      </c>
      <c r="I4" s="3">
        <v>315</v>
      </c>
      <c r="J4" s="3">
        <v>190</v>
      </c>
      <c r="K4" s="3">
        <v>35</v>
      </c>
      <c r="L4" s="3">
        <v>10</v>
      </c>
      <c r="M4" s="3">
        <v>3</v>
      </c>
      <c r="N4" s="3">
        <f t="shared" si="0"/>
        <v>1170</v>
      </c>
      <c r="O4" s="3">
        <f t="shared" ref="O4:O8" si="1">SUM(H4:J4)</f>
        <v>695</v>
      </c>
    </row>
    <row r="5" spans="1:15">
      <c r="A5" s="2">
        <v>0.75</v>
      </c>
      <c r="B5" s="3">
        <v>4</v>
      </c>
      <c r="C5" s="3">
        <v>33</v>
      </c>
      <c r="D5" s="3">
        <v>192</v>
      </c>
      <c r="E5" s="3">
        <v>73</v>
      </c>
      <c r="F5" s="3">
        <v>90</v>
      </c>
      <c r="G5" s="3">
        <v>130</v>
      </c>
      <c r="H5" s="3">
        <v>220</v>
      </c>
      <c r="I5" s="3">
        <v>370</v>
      </c>
      <c r="J5" s="3">
        <v>255</v>
      </c>
      <c r="K5" s="3">
        <v>50</v>
      </c>
      <c r="L5" s="3">
        <v>13</v>
      </c>
      <c r="M5" s="3">
        <v>5</v>
      </c>
      <c r="N5" s="3">
        <f t="shared" si="0"/>
        <v>1435</v>
      </c>
      <c r="O5" s="3">
        <f t="shared" si="1"/>
        <v>845</v>
      </c>
    </row>
    <row r="6" spans="1:15">
      <c r="A6" s="2">
        <v>0.5</v>
      </c>
      <c r="B6" s="3">
        <v>4</v>
      </c>
      <c r="C6" s="3">
        <v>33</v>
      </c>
      <c r="D6" s="3">
        <v>192</v>
      </c>
      <c r="E6" s="3">
        <v>73</v>
      </c>
      <c r="F6" s="3">
        <v>135</v>
      </c>
      <c r="G6" s="3">
        <v>190</v>
      </c>
      <c r="H6" s="3">
        <v>265</v>
      </c>
      <c r="I6" s="3">
        <v>450</v>
      </c>
      <c r="J6" s="3">
        <v>340</v>
      </c>
      <c r="K6" s="3">
        <v>65</v>
      </c>
      <c r="L6" s="3">
        <v>16</v>
      </c>
      <c r="M6" s="3">
        <v>7</v>
      </c>
      <c r="N6" s="3">
        <f t="shared" si="0"/>
        <v>1770</v>
      </c>
      <c r="O6" s="3">
        <f t="shared" si="1"/>
        <v>1055</v>
      </c>
    </row>
    <row r="7" spans="1:15">
      <c r="A7" s="2">
        <v>0.25</v>
      </c>
      <c r="B7" s="3">
        <v>4</v>
      </c>
      <c r="C7" s="3">
        <v>33</v>
      </c>
      <c r="D7" s="3">
        <v>192</v>
      </c>
      <c r="E7" s="3">
        <v>73</v>
      </c>
      <c r="F7" s="3">
        <v>155</v>
      </c>
      <c r="G7" s="3">
        <v>215</v>
      </c>
      <c r="H7" s="3">
        <v>320</v>
      </c>
      <c r="I7" s="3">
        <v>530</v>
      </c>
      <c r="J7" s="3">
        <v>445</v>
      </c>
      <c r="K7" s="3">
        <v>165</v>
      </c>
      <c r="L7" s="3">
        <v>33</v>
      </c>
      <c r="M7" s="3">
        <v>15</v>
      </c>
      <c r="N7" s="3">
        <f t="shared" si="0"/>
        <v>2180</v>
      </c>
      <c r="O7" s="3">
        <f t="shared" si="1"/>
        <v>1295</v>
      </c>
    </row>
    <row r="8" spans="1:15">
      <c r="A8" s="2">
        <v>0.1</v>
      </c>
      <c r="B8" s="3">
        <v>4</v>
      </c>
      <c r="C8" s="3">
        <v>33</v>
      </c>
      <c r="D8" s="3">
        <v>192</v>
      </c>
      <c r="E8" s="3">
        <v>73</v>
      </c>
      <c r="F8" s="3">
        <v>182</v>
      </c>
      <c r="G8" s="3">
        <v>240</v>
      </c>
      <c r="H8" s="3">
        <v>390</v>
      </c>
      <c r="I8" s="3">
        <v>600</v>
      </c>
      <c r="J8" s="3">
        <v>620</v>
      </c>
      <c r="K8" s="3">
        <v>300</v>
      </c>
      <c r="L8" s="3">
        <v>46</v>
      </c>
      <c r="M8" s="3">
        <v>20</v>
      </c>
      <c r="N8" s="3">
        <f>SUM(B8:M8)</f>
        <v>2700</v>
      </c>
      <c r="O8" s="3">
        <f t="shared" si="1"/>
        <v>1610</v>
      </c>
    </row>
    <row r="9" spans="1:15">
      <c r="A9" s="3"/>
      <c r="B9" s="3"/>
      <c r="C9" s="3"/>
      <c r="D9" s="3"/>
      <c r="E9" s="3"/>
      <c r="F9" s="3"/>
      <c r="G9" s="3"/>
      <c r="K9" s="3"/>
      <c r="L9" s="3"/>
      <c r="M9" s="7" t="s">
        <v>21</v>
      </c>
      <c r="N9" s="7">
        <v>1943</v>
      </c>
      <c r="O9" s="8">
        <v>1221</v>
      </c>
    </row>
    <row r="10" spans="1:15">
      <c r="B10" t="s">
        <v>17</v>
      </c>
      <c r="C10" t="s">
        <v>22</v>
      </c>
    </row>
    <row r="17" ht="13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B437A-97E3-0247-9855-6844CD0BABC0}">
  <dimension ref="A1:O17"/>
  <sheetViews>
    <sheetView workbookViewId="0">
      <selection activeCell="F3" sqref="F3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3">
        <v>4</v>
      </c>
      <c r="C3" s="3">
        <v>33</v>
      </c>
      <c r="D3" s="3">
        <v>192</v>
      </c>
      <c r="E3" s="3">
        <v>73</v>
      </c>
      <c r="F3" s="3">
        <v>68</v>
      </c>
      <c r="G3" s="3">
        <v>90</v>
      </c>
      <c r="H3" s="3">
        <v>150</v>
      </c>
      <c r="I3" s="3">
        <v>222</v>
      </c>
      <c r="J3" s="3">
        <v>132</v>
      </c>
      <c r="K3" s="3">
        <v>25</v>
      </c>
      <c r="L3" s="3">
        <v>8</v>
      </c>
      <c r="M3" s="3">
        <v>2</v>
      </c>
      <c r="N3" s="3">
        <f t="shared" ref="N3:N7" si="0">SUM(B3:M3)</f>
        <v>999</v>
      </c>
      <c r="O3" s="3">
        <f>SUM(H3:J3)</f>
        <v>504</v>
      </c>
    </row>
    <row r="4" spans="1:15">
      <c r="A4" s="2">
        <v>0.9</v>
      </c>
      <c r="B4" s="3">
        <v>4</v>
      </c>
      <c r="C4" s="3">
        <v>33</v>
      </c>
      <c r="D4" s="3">
        <v>192</v>
      </c>
      <c r="E4" s="3">
        <v>73</v>
      </c>
      <c r="F4" s="3">
        <v>84</v>
      </c>
      <c r="G4" s="3">
        <v>118</v>
      </c>
      <c r="H4" s="3">
        <v>180</v>
      </c>
      <c r="I4" s="3">
        <v>260</v>
      </c>
      <c r="J4" s="3">
        <v>171</v>
      </c>
      <c r="K4" s="3">
        <v>42</v>
      </c>
      <c r="L4" s="3">
        <v>10</v>
      </c>
      <c r="M4" s="3">
        <v>3</v>
      </c>
      <c r="N4" s="3">
        <f t="shared" si="0"/>
        <v>1170</v>
      </c>
      <c r="O4" s="3">
        <f t="shared" ref="O4:O8" si="1">SUM(H4:J4)</f>
        <v>611</v>
      </c>
    </row>
    <row r="5" spans="1:15">
      <c r="A5" s="2">
        <v>0.75</v>
      </c>
      <c r="B5" s="3">
        <v>4</v>
      </c>
      <c r="C5" s="3">
        <v>33</v>
      </c>
      <c r="D5" s="3">
        <v>192</v>
      </c>
      <c r="E5" s="3">
        <v>73</v>
      </c>
      <c r="F5" s="3">
        <v>110</v>
      </c>
      <c r="G5" s="3">
        <v>162</v>
      </c>
      <c r="H5" s="3">
        <v>220</v>
      </c>
      <c r="I5" s="3">
        <v>371</v>
      </c>
      <c r="J5" s="3">
        <v>255</v>
      </c>
      <c r="K5" s="3">
        <v>52</v>
      </c>
      <c r="L5" s="3">
        <v>13</v>
      </c>
      <c r="M5" s="3">
        <v>5</v>
      </c>
      <c r="N5" s="3">
        <f t="shared" si="0"/>
        <v>1490</v>
      </c>
      <c r="O5" s="3">
        <f t="shared" si="1"/>
        <v>846</v>
      </c>
    </row>
    <row r="6" spans="1:15">
      <c r="A6" s="2">
        <v>0.5</v>
      </c>
      <c r="B6" s="3">
        <v>4</v>
      </c>
      <c r="C6" s="3">
        <v>33</v>
      </c>
      <c r="D6" s="3">
        <v>192</v>
      </c>
      <c r="E6" s="3">
        <v>73</v>
      </c>
      <c r="F6" s="3">
        <v>135</v>
      </c>
      <c r="G6" s="3">
        <v>190</v>
      </c>
      <c r="H6" s="3">
        <v>265</v>
      </c>
      <c r="I6" s="3">
        <v>450</v>
      </c>
      <c r="J6" s="3">
        <v>340</v>
      </c>
      <c r="K6" s="3">
        <v>65</v>
      </c>
      <c r="L6" s="3">
        <v>16</v>
      </c>
      <c r="M6" s="3">
        <v>7</v>
      </c>
      <c r="N6" s="3">
        <f t="shared" si="0"/>
        <v>1770</v>
      </c>
      <c r="O6" s="3">
        <f t="shared" si="1"/>
        <v>1055</v>
      </c>
    </row>
    <row r="7" spans="1:15">
      <c r="A7" s="2">
        <v>0.25</v>
      </c>
      <c r="B7" s="3">
        <v>4</v>
      </c>
      <c r="C7" s="3">
        <v>33</v>
      </c>
      <c r="D7" s="3">
        <v>192</v>
      </c>
      <c r="E7" s="3">
        <v>73</v>
      </c>
      <c r="F7" s="3">
        <v>155</v>
      </c>
      <c r="G7" s="3">
        <v>215</v>
      </c>
      <c r="H7" s="3">
        <v>320</v>
      </c>
      <c r="I7" s="3">
        <v>530</v>
      </c>
      <c r="J7" s="3">
        <v>443</v>
      </c>
      <c r="K7" s="3">
        <v>168</v>
      </c>
      <c r="L7" s="3">
        <v>32</v>
      </c>
      <c r="M7" s="3">
        <v>15</v>
      </c>
      <c r="N7" s="3">
        <f t="shared" si="0"/>
        <v>2180</v>
      </c>
      <c r="O7" s="3">
        <f t="shared" si="1"/>
        <v>1293</v>
      </c>
    </row>
    <row r="8" spans="1:15">
      <c r="A8" s="2">
        <v>0.1</v>
      </c>
      <c r="B8" s="3">
        <v>4</v>
      </c>
      <c r="C8" s="3">
        <v>33</v>
      </c>
      <c r="D8" s="3">
        <v>192</v>
      </c>
      <c r="E8" s="3">
        <v>73</v>
      </c>
      <c r="F8" s="3">
        <v>182</v>
      </c>
      <c r="G8" s="3">
        <v>240</v>
      </c>
      <c r="H8" s="3">
        <v>390</v>
      </c>
      <c r="I8" s="3">
        <v>600</v>
      </c>
      <c r="J8" s="3">
        <v>620</v>
      </c>
      <c r="K8" s="3">
        <v>300</v>
      </c>
      <c r="L8" s="3">
        <v>46</v>
      </c>
      <c r="M8" s="3">
        <v>20</v>
      </c>
      <c r="N8" s="3">
        <f>SUM(B8:M8)</f>
        <v>2700</v>
      </c>
      <c r="O8" s="3">
        <f t="shared" si="1"/>
        <v>1610</v>
      </c>
    </row>
    <row r="9" spans="1:15">
      <c r="A9" s="3"/>
      <c r="B9" s="3"/>
      <c r="C9" s="3"/>
      <c r="D9" s="3"/>
      <c r="E9" s="3"/>
      <c r="F9" s="3"/>
      <c r="G9" s="3"/>
      <c r="K9" s="3"/>
      <c r="L9" s="3"/>
      <c r="M9" s="7" t="s">
        <v>21</v>
      </c>
      <c r="N9" s="7">
        <v>1943</v>
      </c>
      <c r="O9" s="8">
        <v>1221</v>
      </c>
    </row>
    <row r="10" spans="1:15">
      <c r="B10" t="s">
        <v>17</v>
      </c>
      <c r="C10" t="s">
        <v>24</v>
      </c>
    </row>
    <row r="17" ht="13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9FADF-A19C-D348-84C6-85AC12A5AC89}">
  <dimension ref="A1:O17"/>
  <sheetViews>
    <sheetView workbookViewId="0">
      <selection activeCell="M6" sqref="M6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3">
        <v>4</v>
      </c>
      <c r="C3" s="3">
        <v>33</v>
      </c>
      <c r="D3" s="3">
        <v>192</v>
      </c>
      <c r="E3" s="3">
        <v>73</v>
      </c>
      <c r="F3" s="3">
        <v>50</v>
      </c>
      <c r="G3" s="3">
        <v>90</v>
      </c>
      <c r="H3" s="3">
        <v>140</v>
      </c>
      <c r="I3" s="3">
        <v>185</v>
      </c>
      <c r="J3" s="3">
        <v>100</v>
      </c>
      <c r="K3" s="3">
        <v>23</v>
      </c>
      <c r="L3" s="3">
        <v>1</v>
      </c>
      <c r="M3" s="3">
        <v>0</v>
      </c>
      <c r="N3" s="3">
        <f t="shared" ref="N3:N7" si="0">SUM(B3:M3)</f>
        <v>891</v>
      </c>
      <c r="O3" s="3">
        <f>SUM(H3:J3)</f>
        <v>425</v>
      </c>
    </row>
    <row r="4" spans="1:15">
      <c r="A4" s="2">
        <v>0.9</v>
      </c>
      <c r="B4" s="3">
        <v>4</v>
      </c>
      <c r="C4" s="3">
        <v>33</v>
      </c>
      <c r="D4" s="3">
        <v>192</v>
      </c>
      <c r="E4" s="3">
        <v>73</v>
      </c>
      <c r="F4" s="3">
        <v>50</v>
      </c>
      <c r="G4" s="3">
        <v>105</v>
      </c>
      <c r="H4" s="3">
        <v>160</v>
      </c>
      <c r="I4" s="3">
        <v>240</v>
      </c>
      <c r="J4" s="3">
        <v>150</v>
      </c>
      <c r="K4" s="3">
        <v>30</v>
      </c>
      <c r="L4" s="3">
        <v>3</v>
      </c>
      <c r="M4" s="3">
        <v>1</v>
      </c>
      <c r="N4" s="3">
        <f t="shared" si="0"/>
        <v>1041</v>
      </c>
      <c r="O4" s="3">
        <f t="shared" ref="O4:O8" si="1">SUM(H4:J4)</f>
        <v>550</v>
      </c>
    </row>
    <row r="5" spans="1:15">
      <c r="A5" s="2">
        <v>0.75</v>
      </c>
      <c r="B5" s="3">
        <v>4</v>
      </c>
      <c r="C5" s="3">
        <v>33</v>
      </c>
      <c r="D5" s="3">
        <v>192</v>
      </c>
      <c r="E5" s="3">
        <v>73</v>
      </c>
      <c r="F5" s="3">
        <v>50</v>
      </c>
      <c r="G5" s="3">
        <v>130</v>
      </c>
      <c r="H5" s="3">
        <v>185</v>
      </c>
      <c r="I5" s="3">
        <v>290</v>
      </c>
      <c r="J5" s="3">
        <v>180</v>
      </c>
      <c r="K5" s="3">
        <v>34</v>
      </c>
      <c r="L5" s="3">
        <v>7</v>
      </c>
      <c r="M5" s="3">
        <v>2</v>
      </c>
      <c r="N5" s="3">
        <f t="shared" si="0"/>
        <v>1180</v>
      </c>
      <c r="O5" s="3">
        <f t="shared" si="1"/>
        <v>655</v>
      </c>
    </row>
    <row r="6" spans="1:15">
      <c r="A6" s="2">
        <v>0.5</v>
      </c>
      <c r="B6" s="3">
        <v>4</v>
      </c>
      <c r="C6" s="3">
        <v>33</v>
      </c>
      <c r="D6" s="3">
        <v>192</v>
      </c>
      <c r="E6" s="3">
        <v>73</v>
      </c>
      <c r="F6" s="3">
        <v>50</v>
      </c>
      <c r="G6" s="3">
        <v>145</v>
      </c>
      <c r="H6" s="3">
        <v>220</v>
      </c>
      <c r="I6" s="3">
        <v>360</v>
      </c>
      <c r="J6" s="3">
        <v>220</v>
      </c>
      <c r="K6" s="3">
        <v>40</v>
      </c>
      <c r="L6" s="3">
        <v>10</v>
      </c>
      <c r="M6" s="3">
        <v>4</v>
      </c>
      <c r="N6" s="3">
        <f t="shared" si="0"/>
        <v>1351</v>
      </c>
      <c r="O6" s="3">
        <f t="shared" si="1"/>
        <v>800</v>
      </c>
    </row>
    <row r="7" spans="1:15">
      <c r="A7" s="2">
        <v>0.25</v>
      </c>
      <c r="B7" s="3">
        <v>4</v>
      </c>
      <c r="C7" s="3">
        <v>33</v>
      </c>
      <c r="D7" s="3">
        <v>192</v>
      </c>
      <c r="E7" s="3">
        <v>73</v>
      </c>
      <c r="F7" s="3">
        <v>50</v>
      </c>
      <c r="G7" s="3">
        <v>180</v>
      </c>
      <c r="H7" s="3">
        <v>270</v>
      </c>
      <c r="I7" s="3">
        <v>430</v>
      </c>
      <c r="J7" s="3">
        <v>330</v>
      </c>
      <c r="K7" s="3">
        <v>95</v>
      </c>
      <c r="L7" s="3">
        <v>25</v>
      </c>
      <c r="M7" s="3">
        <v>9</v>
      </c>
      <c r="N7" s="3">
        <f t="shared" si="0"/>
        <v>1691</v>
      </c>
      <c r="O7" s="3">
        <f t="shared" si="1"/>
        <v>1030</v>
      </c>
    </row>
    <row r="8" spans="1:15">
      <c r="A8" s="2">
        <v>0.1</v>
      </c>
      <c r="B8" s="3">
        <v>4</v>
      </c>
      <c r="C8" s="3">
        <v>33</v>
      </c>
      <c r="D8" s="3">
        <v>192</v>
      </c>
      <c r="E8" s="3">
        <v>73</v>
      </c>
      <c r="F8" s="3">
        <v>50</v>
      </c>
      <c r="G8" s="3">
        <v>220</v>
      </c>
      <c r="H8" s="3">
        <v>310</v>
      </c>
      <c r="I8" s="3">
        <v>520</v>
      </c>
      <c r="J8" s="3">
        <v>470</v>
      </c>
      <c r="K8" s="3">
        <v>160</v>
      </c>
      <c r="L8" s="3">
        <v>40</v>
      </c>
      <c r="M8" s="3">
        <v>19</v>
      </c>
      <c r="N8" s="3">
        <f>SUM(B8:M8)</f>
        <v>2091</v>
      </c>
      <c r="O8" s="3">
        <f t="shared" si="1"/>
        <v>1300</v>
      </c>
    </row>
    <row r="9" spans="1:15">
      <c r="A9" s="3"/>
      <c r="B9" s="3"/>
      <c r="C9" s="3"/>
      <c r="D9" s="3"/>
      <c r="E9" s="3"/>
      <c r="F9" s="3"/>
      <c r="G9" s="3"/>
      <c r="K9" s="3"/>
      <c r="L9" s="3"/>
      <c r="M9" s="7" t="s">
        <v>21</v>
      </c>
      <c r="N9" s="7">
        <v>1943</v>
      </c>
      <c r="O9" s="8">
        <v>1221</v>
      </c>
    </row>
    <row r="10" spans="1:15">
      <c r="B10" t="s">
        <v>17</v>
      </c>
      <c r="C10" t="s">
        <v>23</v>
      </c>
    </row>
    <row r="17" ht="13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7A572-B24C-0C4B-96BF-A476FD3F508A}">
  <dimension ref="A1:O10"/>
  <sheetViews>
    <sheetView workbookViewId="0">
      <selection activeCell="F3" sqref="B3:F8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3">
        <v>4</v>
      </c>
      <c r="C3" s="3">
        <v>33</v>
      </c>
      <c r="D3" s="3">
        <v>192</v>
      </c>
      <c r="E3" s="3">
        <v>73</v>
      </c>
      <c r="F3" s="3">
        <v>50</v>
      </c>
      <c r="G3" s="3">
        <v>90</v>
      </c>
      <c r="H3" s="3">
        <v>140</v>
      </c>
      <c r="I3" s="3">
        <v>185</v>
      </c>
      <c r="J3" s="3">
        <v>100</v>
      </c>
      <c r="K3" s="3">
        <v>23</v>
      </c>
      <c r="L3" s="3">
        <v>1</v>
      </c>
      <c r="M3" s="3">
        <v>0</v>
      </c>
      <c r="N3" s="3">
        <f t="shared" ref="N3:N8" si="0">SUM(B3:M3)</f>
        <v>891</v>
      </c>
      <c r="O3" s="3">
        <f>SUM(H3:J3)</f>
        <v>425</v>
      </c>
    </row>
    <row r="4" spans="1:15">
      <c r="A4" s="2">
        <v>0.9</v>
      </c>
      <c r="B4" s="3">
        <v>4</v>
      </c>
      <c r="C4" s="3">
        <v>33</v>
      </c>
      <c r="D4" s="3">
        <v>192</v>
      </c>
      <c r="E4" s="3">
        <v>73</v>
      </c>
      <c r="F4" s="3">
        <v>50</v>
      </c>
      <c r="G4" s="3">
        <v>105</v>
      </c>
      <c r="H4" s="3">
        <v>160</v>
      </c>
      <c r="I4" s="3">
        <v>240</v>
      </c>
      <c r="J4" s="3">
        <v>150</v>
      </c>
      <c r="K4" s="3">
        <v>30</v>
      </c>
      <c r="L4" s="3">
        <v>3</v>
      </c>
      <c r="M4" s="3">
        <v>1</v>
      </c>
      <c r="N4" s="3">
        <f t="shared" si="0"/>
        <v>1041</v>
      </c>
      <c r="O4" s="3">
        <f t="shared" ref="O4:O8" si="1">SUM(H4:J4)</f>
        <v>550</v>
      </c>
    </row>
    <row r="5" spans="1:15">
      <c r="A5" s="2">
        <v>0.75</v>
      </c>
      <c r="B5" s="3">
        <v>4</v>
      </c>
      <c r="C5" s="3">
        <v>33</v>
      </c>
      <c r="D5" s="3">
        <v>192</v>
      </c>
      <c r="E5" s="3">
        <v>73</v>
      </c>
      <c r="F5" s="3">
        <v>50</v>
      </c>
      <c r="G5" s="3">
        <v>130</v>
      </c>
      <c r="H5" s="3">
        <v>185</v>
      </c>
      <c r="I5" s="3">
        <v>290</v>
      </c>
      <c r="J5" s="3">
        <v>180</v>
      </c>
      <c r="K5" s="3">
        <v>34</v>
      </c>
      <c r="L5" s="3">
        <v>7</v>
      </c>
      <c r="M5" s="3">
        <v>2</v>
      </c>
      <c r="N5" s="3">
        <f t="shared" si="0"/>
        <v>1180</v>
      </c>
      <c r="O5" s="3">
        <f t="shared" si="1"/>
        <v>655</v>
      </c>
    </row>
    <row r="6" spans="1:15">
      <c r="A6" s="2">
        <v>0.5</v>
      </c>
      <c r="B6" s="3">
        <v>4</v>
      </c>
      <c r="C6" s="3">
        <v>33</v>
      </c>
      <c r="D6" s="3">
        <v>192</v>
      </c>
      <c r="E6" s="3">
        <v>73</v>
      </c>
      <c r="F6" s="3">
        <v>50</v>
      </c>
      <c r="G6" s="3">
        <v>145</v>
      </c>
      <c r="H6" s="3">
        <v>220</v>
      </c>
      <c r="I6" s="3">
        <v>360</v>
      </c>
      <c r="J6" s="3">
        <v>220</v>
      </c>
      <c r="K6" s="3">
        <v>40</v>
      </c>
      <c r="L6" s="3">
        <v>10</v>
      </c>
      <c r="M6" s="3">
        <v>4</v>
      </c>
      <c r="N6" s="3">
        <f t="shared" si="0"/>
        <v>1351</v>
      </c>
      <c r="O6" s="3">
        <f t="shared" si="1"/>
        <v>800</v>
      </c>
    </row>
    <row r="7" spans="1:15">
      <c r="A7" s="2">
        <v>0.25</v>
      </c>
      <c r="B7" s="3">
        <v>4</v>
      </c>
      <c r="C7" s="3">
        <v>33</v>
      </c>
      <c r="D7" s="3">
        <v>192</v>
      </c>
      <c r="E7" s="3">
        <v>73</v>
      </c>
      <c r="F7" s="3">
        <v>50</v>
      </c>
      <c r="G7" s="3">
        <v>180</v>
      </c>
      <c r="H7" s="3">
        <v>270</v>
      </c>
      <c r="I7" s="3">
        <v>430</v>
      </c>
      <c r="J7" s="3">
        <v>330</v>
      </c>
      <c r="K7" s="3">
        <v>95</v>
      </c>
      <c r="L7" s="3">
        <v>25</v>
      </c>
      <c r="M7" s="3">
        <v>9</v>
      </c>
      <c r="N7" s="3">
        <f t="shared" si="0"/>
        <v>1691</v>
      </c>
      <c r="O7" s="3">
        <f t="shared" si="1"/>
        <v>1030</v>
      </c>
    </row>
    <row r="8" spans="1:15">
      <c r="A8" s="2">
        <v>0.1</v>
      </c>
      <c r="B8" s="3">
        <v>4</v>
      </c>
      <c r="C8" s="3">
        <v>33</v>
      </c>
      <c r="D8" s="3">
        <v>192</v>
      </c>
      <c r="E8" s="3">
        <v>73</v>
      </c>
      <c r="F8" s="3">
        <v>50</v>
      </c>
      <c r="G8" s="3">
        <v>220</v>
      </c>
      <c r="H8" s="3">
        <v>310</v>
      </c>
      <c r="I8" s="3">
        <v>520</v>
      </c>
      <c r="J8" s="3">
        <v>470</v>
      </c>
      <c r="K8" s="3">
        <v>160</v>
      </c>
      <c r="L8" s="3">
        <v>40</v>
      </c>
      <c r="M8" s="3">
        <v>19</v>
      </c>
      <c r="N8" s="3">
        <f t="shared" si="0"/>
        <v>2091</v>
      </c>
      <c r="O8" s="3">
        <f t="shared" si="1"/>
        <v>1300</v>
      </c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7" t="s">
        <v>21</v>
      </c>
      <c r="N9" s="7">
        <v>1943</v>
      </c>
      <c r="O9" s="8">
        <v>1221</v>
      </c>
    </row>
    <row r="10" spans="1:15">
      <c r="B10" t="s">
        <v>17</v>
      </c>
      <c r="C10" t="s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3FD50-5289-0B40-9FAD-BE3E07A006C9}">
  <dimension ref="A1:O10"/>
  <sheetViews>
    <sheetView workbookViewId="0">
      <selection activeCell="K4" sqref="K4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3">
        <v>4</v>
      </c>
      <c r="C3" s="3">
        <v>33</v>
      </c>
      <c r="D3" s="3">
        <v>192</v>
      </c>
      <c r="E3" s="3">
        <v>73</v>
      </c>
      <c r="F3" s="3">
        <v>50</v>
      </c>
      <c r="G3" s="3">
        <v>126</v>
      </c>
      <c r="H3" s="3">
        <v>150</v>
      </c>
      <c r="I3" s="3">
        <v>210</v>
      </c>
      <c r="J3" s="3">
        <v>70</v>
      </c>
      <c r="K3" s="3">
        <v>12</v>
      </c>
      <c r="L3" s="3">
        <v>1</v>
      </c>
      <c r="M3" s="3">
        <v>0</v>
      </c>
      <c r="N3" s="3">
        <f t="shared" ref="N3:N8" si="0">SUM(B3:M3)</f>
        <v>921</v>
      </c>
      <c r="O3" s="3">
        <f>SUM(H3:J3)</f>
        <v>430</v>
      </c>
    </row>
    <row r="4" spans="1:15">
      <c r="A4" s="2">
        <v>0.9</v>
      </c>
      <c r="B4" s="3">
        <v>4</v>
      </c>
      <c r="C4" s="3">
        <v>33</v>
      </c>
      <c r="D4" s="3">
        <v>192</v>
      </c>
      <c r="E4" s="3">
        <v>73</v>
      </c>
      <c r="F4" s="3">
        <v>50</v>
      </c>
      <c r="G4" s="3">
        <v>126</v>
      </c>
      <c r="H4" s="3">
        <v>170</v>
      </c>
      <c r="I4" s="3">
        <v>260</v>
      </c>
      <c r="J4" s="3">
        <v>120</v>
      </c>
      <c r="K4" s="3">
        <v>20</v>
      </c>
      <c r="L4" s="3">
        <v>2</v>
      </c>
      <c r="M4" s="3">
        <v>1</v>
      </c>
      <c r="N4" s="3">
        <f t="shared" si="0"/>
        <v>1051</v>
      </c>
      <c r="O4" s="3">
        <f t="shared" ref="O4:O8" si="1">SUM(H4:J4)</f>
        <v>550</v>
      </c>
    </row>
    <row r="5" spans="1:15">
      <c r="A5" s="2">
        <v>0.75</v>
      </c>
      <c r="B5" s="3">
        <v>4</v>
      </c>
      <c r="C5" s="3">
        <v>33</v>
      </c>
      <c r="D5" s="3">
        <v>192</v>
      </c>
      <c r="E5" s="3">
        <v>73</v>
      </c>
      <c r="F5" s="3">
        <v>50</v>
      </c>
      <c r="G5" s="3">
        <v>126</v>
      </c>
      <c r="H5" s="3">
        <v>180</v>
      </c>
      <c r="I5" s="3">
        <v>290</v>
      </c>
      <c r="J5" s="3">
        <v>160</v>
      </c>
      <c r="K5" s="3">
        <v>25</v>
      </c>
      <c r="L5" s="3">
        <v>6</v>
      </c>
      <c r="M5" s="3">
        <v>2</v>
      </c>
      <c r="N5" s="3">
        <f t="shared" si="0"/>
        <v>1141</v>
      </c>
      <c r="O5" s="3">
        <f t="shared" si="1"/>
        <v>630</v>
      </c>
    </row>
    <row r="6" spans="1:15">
      <c r="A6" s="2">
        <v>0.5</v>
      </c>
      <c r="B6" s="3">
        <v>4</v>
      </c>
      <c r="C6" s="3">
        <v>33</v>
      </c>
      <c r="D6" s="3">
        <v>192</v>
      </c>
      <c r="E6" s="3">
        <v>73</v>
      </c>
      <c r="F6" s="3">
        <v>50</v>
      </c>
      <c r="G6" s="3">
        <v>126</v>
      </c>
      <c r="H6" s="3">
        <v>200</v>
      </c>
      <c r="I6" s="3">
        <v>330</v>
      </c>
      <c r="J6" s="3">
        <v>180</v>
      </c>
      <c r="K6" s="3">
        <v>30</v>
      </c>
      <c r="L6" s="3">
        <v>8</v>
      </c>
      <c r="M6" s="3">
        <v>3</v>
      </c>
      <c r="N6" s="3">
        <f t="shared" si="0"/>
        <v>1229</v>
      </c>
      <c r="O6" s="3">
        <f t="shared" si="1"/>
        <v>710</v>
      </c>
    </row>
    <row r="7" spans="1:15">
      <c r="A7" s="2">
        <v>0.25</v>
      </c>
      <c r="B7" s="3">
        <v>4</v>
      </c>
      <c r="C7" s="3">
        <v>33</v>
      </c>
      <c r="D7" s="3">
        <v>192</v>
      </c>
      <c r="E7" s="3">
        <v>73</v>
      </c>
      <c r="F7" s="3">
        <v>50</v>
      </c>
      <c r="G7" s="3">
        <v>126</v>
      </c>
      <c r="H7" s="3">
        <v>230</v>
      </c>
      <c r="I7" s="3">
        <v>385</v>
      </c>
      <c r="J7" s="3">
        <v>256</v>
      </c>
      <c r="K7" s="3">
        <v>65</v>
      </c>
      <c r="L7" s="3">
        <v>11</v>
      </c>
      <c r="M7" s="3">
        <v>6</v>
      </c>
      <c r="N7" s="3">
        <f t="shared" si="0"/>
        <v>1431</v>
      </c>
      <c r="O7" s="3">
        <f t="shared" si="1"/>
        <v>871</v>
      </c>
    </row>
    <row r="8" spans="1:15">
      <c r="A8" s="2">
        <v>0.1</v>
      </c>
      <c r="B8" s="3">
        <v>4</v>
      </c>
      <c r="C8" s="3">
        <v>33</v>
      </c>
      <c r="D8" s="3">
        <v>192</v>
      </c>
      <c r="E8" s="3">
        <v>73</v>
      </c>
      <c r="F8" s="3">
        <v>50</v>
      </c>
      <c r="G8" s="3">
        <v>126</v>
      </c>
      <c r="H8" s="3">
        <v>260</v>
      </c>
      <c r="I8" s="3">
        <v>440</v>
      </c>
      <c r="J8" s="3">
        <v>330</v>
      </c>
      <c r="K8" s="3">
        <v>100</v>
      </c>
      <c r="L8" s="3">
        <v>14</v>
      </c>
      <c r="M8" s="3">
        <v>9</v>
      </c>
      <c r="N8" s="3">
        <f t="shared" si="0"/>
        <v>1631</v>
      </c>
      <c r="O8" s="3">
        <f t="shared" si="1"/>
        <v>1030</v>
      </c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7" t="s">
        <v>21</v>
      </c>
      <c r="N9" s="7">
        <v>1943</v>
      </c>
      <c r="O9" s="8">
        <v>1221</v>
      </c>
    </row>
    <row r="10" spans="1:15">
      <c r="B10" t="s">
        <v>17</v>
      </c>
      <c r="C10" t="s">
        <v>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BB085-E059-1C4D-A77F-7EBB7256EEEE}">
  <dimension ref="A1:O10"/>
  <sheetViews>
    <sheetView tabSelected="1" workbookViewId="0">
      <selection activeCell="M9" sqref="M9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3">
        <v>4</v>
      </c>
      <c r="C3" s="3">
        <v>33</v>
      </c>
      <c r="D3" s="3">
        <v>192</v>
      </c>
      <c r="E3" s="3">
        <v>73</v>
      </c>
      <c r="F3" s="3">
        <v>50</v>
      </c>
      <c r="G3" s="3">
        <v>126</v>
      </c>
      <c r="H3" s="3">
        <v>232</v>
      </c>
      <c r="I3" s="3">
        <v>185</v>
      </c>
      <c r="J3" s="3">
        <v>70</v>
      </c>
      <c r="K3" s="3">
        <v>6</v>
      </c>
      <c r="L3" s="3">
        <v>0</v>
      </c>
      <c r="M3" s="3">
        <v>0</v>
      </c>
      <c r="N3" s="3">
        <f t="shared" ref="N3:N8" si="0">SUM(B3:M3)</f>
        <v>971</v>
      </c>
      <c r="O3" s="3">
        <f>SUM(H3:J3)</f>
        <v>487</v>
      </c>
    </row>
    <row r="4" spans="1:15">
      <c r="A4" s="2">
        <v>0.9</v>
      </c>
      <c r="B4" s="3">
        <v>4</v>
      </c>
      <c r="C4" s="3">
        <v>33</v>
      </c>
      <c r="D4" s="3">
        <v>192</v>
      </c>
      <c r="E4" s="3">
        <v>73</v>
      </c>
      <c r="F4" s="3">
        <v>50</v>
      </c>
      <c r="G4" s="3">
        <v>126</v>
      </c>
      <c r="H4" s="3">
        <v>232</v>
      </c>
      <c r="I4" s="3">
        <v>212</v>
      </c>
      <c r="J4" s="3">
        <v>95</v>
      </c>
      <c r="K4" s="3">
        <v>11</v>
      </c>
      <c r="L4" s="3">
        <v>1</v>
      </c>
      <c r="M4" s="3">
        <v>0</v>
      </c>
      <c r="N4" s="3">
        <f t="shared" si="0"/>
        <v>1029</v>
      </c>
      <c r="O4" s="3">
        <f t="shared" ref="O4:O8" si="1">SUM(H4:J4)</f>
        <v>539</v>
      </c>
    </row>
    <row r="5" spans="1:15">
      <c r="A5" s="2">
        <v>0.75</v>
      </c>
      <c r="B5" s="3">
        <v>4</v>
      </c>
      <c r="C5" s="3">
        <v>33</v>
      </c>
      <c r="D5" s="3">
        <v>192</v>
      </c>
      <c r="E5" s="3">
        <v>73</v>
      </c>
      <c r="F5" s="3">
        <v>50</v>
      </c>
      <c r="G5" s="3">
        <v>126</v>
      </c>
      <c r="H5" s="3">
        <v>232</v>
      </c>
      <c r="I5" s="3">
        <v>235</v>
      </c>
      <c r="J5" s="3">
        <v>105</v>
      </c>
      <c r="K5" s="3">
        <v>17</v>
      </c>
      <c r="L5" s="3">
        <v>3</v>
      </c>
      <c r="M5" s="3">
        <v>1</v>
      </c>
      <c r="N5" s="3">
        <f t="shared" si="0"/>
        <v>1071</v>
      </c>
      <c r="O5" s="3">
        <f t="shared" si="1"/>
        <v>572</v>
      </c>
    </row>
    <row r="6" spans="1:15">
      <c r="A6" s="2">
        <v>0.5</v>
      </c>
      <c r="B6" s="3">
        <v>4</v>
      </c>
      <c r="C6" s="3">
        <v>33</v>
      </c>
      <c r="D6" s="3">
        <v>192</v>
      </c>
      <c r="E6" s="3">
        <v>73</v>
      </c>
      <c r="F6" s="3">
        <v>50</v>
      </c>
      <c r="G6" s="3">
        <v>126</v>
      </c>
      <c r="H6" s="3">
        <v>232</v>
      </c>
      <c r="I6" s="3">
        <v>265</v>
      </c>
      <c r="J6" s="3">
        <v>130</v>
      </c>
      <c r="K6" s="3">
        <v>23</v>
      </c>
      <c r="L6" s="3">
        <v>6</v>
      </c>
      <c r="M6" s="3">
        <v>2</v>
      </c>
      <c r="N6" s="3">
        <f t="shared" si="0"/>
        <v>1136</v>
      </c>
      <c r="O6" s="3">
        <f t="shared" si="1"/>
        <v>627</v>
      </c>
    </row>
    <row r="7" spans="1:15">
      <c r="A7" s="2">
        <v>0.25</v>
      </c>
      <c r="B7" s="3">
        <v>4</v>
      </c>
      <c r="C7" s="3">
        <v>33</v>
      </c>
      <c r="D7" s="3">
        <v>192</v>
      </c>
      <c r="E7" s="3">
        <v>73</v>
      </c>
      <c r="F7" s="3">
        <v>50</v>
      </c>
      <c r="G7" s="3">
        <v>126</v>
      </c>
      <c r="H7" s="3">
        <v>232</v>
      </c>
      <c r="I7" s="3">
        <v>290</v>
      </c>
      <c r="J7" s="3">
        <v>177</v>
      </c>
      <c r="K7" s="3">
        <v>34</v>
      </c>
      <c r="L7" s="3">
        <v>10</v>
      </c>
      <c r="M7" s="3">
        <v>5</v>
      </c>
      <c r="N7" s="3">
        <f t="shared" si="0"/>
        <v>1226</v>
      </c>
      <c r="O7" s="3">
        <f t="shared" si="1"/>
        <v>699</v>
      </c>
    </row>
    <row r="8" spans="1:15">
      <c r="A8" s="2">
        <v>0.1</v>
      </c>
      <c r="B8" s="3">
        <v>4</v>
      </c>
      <c r="C8" s="3">
        <v>33</v>
      </c>
      <c r="D8" s="3">
        <v>192</v>
      </c>
      <c r="E8" s="3">
        <v>73</v>
      </c>
      <c r="F8" s="3">
        <v>50</v>
      </c>
      <c r="G8" s="3">
        <v>126</v>
      </c>
      <c r="H8" s="3">
        <v>232</v>
      </c>
      <c r="I8" s="3">
        <v>311</v>
      </c>
      <c r="J8" s="3">
        <v>224</v>
      </c>
      <c r="K8" s="3">
        <v>53</v>
      </c>
      <c r="L8" s="3">
        <v>14</v>
      </c>
      <c r="M8" s="3">
        <v>10</v>
      </c>
      <c r="N8" s="3">
        <f t="shared" si="0"/>
        <v>1322</v>
      </c>
      <c r="O8" s="3">
        <f t="shared" si="1"/>
        <v>767</v>
      </c>
    </row>
    <row r="9" spans="1:15">
      <c r="A9" s="3"/>
      <c r="B9" s="3"/>
      <c r="C9" s="3"/>
      <c r="D9" s="3"/>
      <c r="E9" s="3"/>
      <c r="F9" s="3"/>
      <c r="G9" s="3"/>
      <c r="K9" s="3"/>
      <c r="M9" s="7" t="s">
        <v>21</v>
      </c>
      <c r="N9" s="7">
        <v>1943</v>
      </c>
      <c r="O9" s="8">
        <v>1221</v>
      </c>
    </row>
    <row r="10" spans="1:15">
      <c r="B10" t="s">
        <v>17</v>
      </c>
      <c r="C10" t="s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EC268-B450-A34C-90B7-FA438A3BE526}">
  <dimension ref="A1:O9"/>
  <sheetViews>
    <sheetView workbookViewId="0">
      <selection sqref="A1:O9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>
        <f>SUM(B3:M3)</f>
        <v>0</v>
      </c>
      <c r="O3" s="3">
        <f>SUM(H3:J3)</f>
        <v>0</v>
      </c>
    </row>
    <row r="4" spans="1:15">
      <c r="A4" s="2">
        <v>0.9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>
        <f t="shared" ref="N4:N8" si="0">SUM(B4:M4)</f>
        <v>0</v>
      </c>
      <c r="O4" s="3">
        <f t="shared" ref="O4:O8" si="1">SUM(H4:J4)</f>
        <v>0</v>
      </c>
    </row>
    <row r="5" spans="1:15">
      <c r="A5" s="2">
        <v>0.75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>
        <f t="shared" si="0"/>
        <v>0</v>
      </c>
      <c r="O5" s="3">
        <f t="shared" si="1"/>
        <v>0</v>
      </c>
    </row>
    <row r="6" spans="1:15">
      <c r="A6" s="2">
        <v>0.5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>
        <f t="shared" si="0"/>
        <v>0</v>
      </c>
      <c r="O6" s="3">
        <f t="shared" si="1"/>
        <v>0</v>
      </c>
    </row>
    <row r="7" spans="1:15">
      <c r="A7" s="2">
        <v>0.25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>
        <f t="shared" si="0"/>
        <v>0</v>
      </c>
      <c r="O7" s="3">
        <f t="shared" si="1"/>
        <v>0</v>
      </c>
    </row>
    <row r="8" spans="1:15">
      <c r="A8" s="2">
        <v>0.1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>
        <f t="shared" si="0"/>
        <v>0</v>
      </c>
      <c r="O8" s="3">
        <f t="shared" si="1"/>
        <v>0</v>
      </c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6" t="s">
        <v>16</v>
      </c>
      <c r="N9" s="6">
        <v>1909</v>
      </c>
      <c r="O9" s="2">
        <v>1193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Jan1</vt:lpstr>
      <vt:lpstr>Feb1</vt:lpstr>
      <vt:lpstr>Feb8</vt:lpstr>
      <vt:lpstr>Feb26</vt:lpstr>
      <vt:lpstr>Mar1</vt:lpstr>
      <vt:lpstr>Apr1</vt:lpstr>
      <vt:lpstr>May1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Evelyn Murdoch</dc:creator>
  <cp:lastModifiedBy>Abbey Hill</cp:lastModifiedBy>
  <dcterms:created xsi:type="dcterms:W3CDTF">2021-12-13T20:28:37Z</dcterms:created>
  <dcterms:modified xsi:type="dcterms:W3CDTF">2022-02-01T20:37:48Z</dcterms:modified>
</cp:coreProperties>
</file>