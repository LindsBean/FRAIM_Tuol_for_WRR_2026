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ity/Desktop/SJWSI_Forcasts/"/>
    </mc:Choice>
  </mc:AlternateContent>
  <xr:revisionPtr revIDLastSave="0" documentId="13_ncr:1_{59C09315-A13A-A04B-B24A-1595DAB455A3}" xr6:coauthVersionLast="47" xr6:coauthVersionMax="47" xr10:uidLastSave="{00000000-0000-0000-0000-000000000000}"/>
  <bookViews>
    <workbookView xWindow="-38100" yWindow="500" windowWidth="28820" windowHeight="11220" activeTab="5" xr2:uid="{3578BA0C-0428-784E-9DCD-2FF2D0CA4835}"/>
  </bookViews>
  <sheets>
    <sheet name="Dec1" sheetId="1" r:id="rId1"/>
    <sheet name="Jan1" sheetId="2" r:id="rId2"/>
    <sheet name="Feb1" sheetId="3" r:id="rId3"/>
    <sheet name="Mar1" sheetId="4" r:id="rId4"/>
    <sheet name="Apr1" sheetId="5" r:id="rId5"/>
    <sheet name="May1" sheetId="7" r:id="rId6"/>
    <sheet name="templ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3" l="1"/>
  <c r="N8" i="3"/>
  <c r="O7" i="3"/>
  <c r="N7" i="3"/>
  <c r="O6" i="3"/>
  <c r="N6" i="3"/>
  <c r="O5" i="3"/>
  <c r="N5" i="3"/>
  <c r="O4" i="3"/>
  <c r="N4" i="3"/>
  <c r="O3" i="3"/>
  <c r="N3" i="3"/>
  <c r="O8" i="1"/>
  <c r="N8" i="1"/>
  <c r="O7" i="1"/>
  <c r="N7" i="1"/>
  <c r="O6" i="1"/>
  <c r="N6" i="1"/>
  <c r="O5" i="1"/>
  <c r="N5" i="1"/>
  <c r="O4" i="1"/>
  <c r="N4" i="1"/>
  <c r="O3" i="1"/>
  <c r="N3" i="1"/>
  <c r="O8" i="2"/>
  <c r="N8" i="2"/>
  <c r="O7" i="2"/>
  <c r="N7" i="2"/>
  <c r="O6" i="2"/>
  <c r="N6" i="2"/>
  <c r="O5" i="2"/>
  <c r="N5" i="2"/>
  <c r="O4" i="2"/>
  <c r="N4" i="2"/>
  <c r="O3" i="2"/>
  <c r="N3" i="2"/>
  <c r="O4" i="7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</calcChain>
</file>

<file path=xl/sharedStrings.xml><?xml version="1.0" encoding="utf-8"?>
<sst xmlns="http://schemas.openxmlformats.org/spreadsheetml/2006/main" count="130" uniqueCount="25">
  <si>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</si>
  <si>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</si>
  <si>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</si>
  <si>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</si>
  <si>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</si>
  <si>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</si>
  <si>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</si>
  <si>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</si>
  <si>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</si>
  <si>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</si>
  <si>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</si>
  <si>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</si>
  <si>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</si>
  <si>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</si>
  <si>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</si>
  <si>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</si>
  <si>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</si>
  <si>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 xml:space="preserve">1966-2005 avg </t>
  </si>
  <si>
    <t>from 110101SJWSI.pdf</t>
  </si>
  <si>
    <t>from</t>
  </si>
  <si>
    <t>101201SJWSI.pdf</t>
  </si>
  <si>
    <t>110201SJWSI.pdf</t>
  </si>
  <si>
    <t>110301SJWSI.pdf</t>
  </si>
  <si>
    <t>110401SJWSI.pdf</t>
  </si>
  <si>
    <t>110501SJWSI.pdf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</si>
</sst>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4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3594-243D-FD4D-959F-C5F2484E376F}">
  <dimension ref="A1:O10"/>
  <sheetViews>
    <sheetView workbookViewId="0">
      <selection activeCell="G12" sqref="G12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108</v>
      </c>
      <c r="C3" s="3">
        <v>79</v>
      </c>
      <c r="D3" s="3">
        <v>25</v>
      </c>
      <c r="E3" s="3">
        <v>36</v>
      </c>
      <c r="F3" s="3">
        <v>64</v>
      </c>
      <c r="G3" s="3">
        <v>100</v>
      </c>
      <c r="H3" s="3">
        <v>156</v>
      </c>
      <c r="I3" s="3">
        <v>211</v>
      </c>
      <c r="J3" s="3">
        <v>120</v>
      </c>
      <c r="K3" s="3">
        <v>24</v>
      </c>
      <c r="L3" s="3">
        <v>9</v>
      </c>
      <c r="M3" s="3">
        <v>8</v>
      </c>
      <c r="N3" s="3">
        <f>SUM(B3:M3)</f>
        <v>940</v>
      </c>
      <c r="O3" s="3">
        <f>SUM(H3:J3)</f>
        <v>487</v>
      </c>
    </row>
    <row r="4" spans="1:15">
      <c r="A4" s="2">
        <v>0.9</v>
      </c>
      <c r="B4" s="3">
        <v>108</v>
      </c>
      <c r="C4" s="3">
        <v>79</v>
      </c>
      <c r="D4" s="3">
        <v>61</v>
      </c>
      <c r="E4" s="3">
        <v>89</v>
      </c>
      <c r="F4" s="3">
        <v>111</v>
      </c>
      <c r="G4" s="3">
        <v>138</v>
      </c>
      <c r="H4" s="3">
        <v>178</v>
      </c>
      <c r="I4" s="3">
        <v>320</v>
      </c>
      <c r="J4" s="3">
        <v>238</v>
      </c>
      <c r="K4" s="3">
        <v>64</v>
      </c>
      <c r="L4" s="3">
        <v>22</v>
      </c>
      <c r="M4" s="3">
        <v>12</v>
      </c>
      <c r="N4" s="3">
        <f t="shared" ref="N4:N8" si="0">SUM(B4:M4)</f>
        <v>1420</v>
      </c>
      <c r="O4" s="3">
        <f t="shared" ref="O4:O8" si="1">SUM(H4:J4)</f>
        <v>736</v>
      </c>
    </row>
    <row r="5" spans="1:15">
      <c r="A5" s="2">
        <v>0.75</v>
      </c>
      <c r="B5" s="3">
        <v>108</v>
      </c>
      <c r="C5" s="3">
        <v>79</v>
      </c>
      <c r="D5" s="3">
        <v>84</v>
      </c>
      <c r="E5" s="3">
        <v>123</v>
      </c>
      <c r="F5" s="3">
        <v>135</v>
      </c>
      <c r="G5" s="3">
        <v>166</v>
      </c>
      <c r="H5" s="3">
        <v>206</v>
      </c>
      <c r="I5" s="3">
        <v>364</v>
      </c>
      <c r="J5" s="3">
        <v>291</v>
      </c>
      <c r="K5" s="3">
        <v>89</v>
      </c>
      <c r="L5" s="3">
        <v>27</v>
      </c>
      <c r="M5" s="3">
        <v>17</v>
      </c>
      <c r="N5" s="3">
        <f t="shared" si="0"/>
        <v>1689</v>
      </c>
      <c r="O5" s="3">
        <f t="shared" si="1"/>
        <v>861</v>
      </c>
    </row>
    <row r="6" spans="1:15">
      <c r="A6" s="2">
        <v>0.5</v>
      </c>
      <c r="B6" s="3">
        <v>108</v>
      </c>
      <c r="C6" s="3">
        <v>79</v>
      </c>
      <c r="D6" s="3">
        <v>135</v>
      </c>
      <c r="E6" s="3">
        <v>204</v>
      </c>
      <c r="F6" s="3">
        <v>184</v>
      </c>
      <c r="G6" s="3">
        <v>219</v>
      </c>
      <c r="H6" s="3">
        <v>253</v>
      </c>
      <c r="I6" s="3">
        <v>429</v>
      </c>
      <c r="J6" s="3">
        <v>400</v>
      </c>
      <c r="K6" s="3">
        <v>157</v>
      </c>
      <c r="L6" s="3">
        <v>40</v>
      </c>
      <c r="M6" s="3">
        <v>22</v>
      </c>
      <c r="N6" s="3">
        <f t="shared" si="0"/>
        <v>2230</v>
      </c>
      <c r="O6" s="3">
        <f t="shared" si="1"/>
        <v>1082</v>
      </c>
    </row>
    <row r="7" spans="1:15">
      <c r="A7" s="2">
        <v>0.25</v>
      </c>
      <c r="B7" s="3">
        <v>108</v>
      </c>
      <c r="C7" s="3">
        <v>79</v>
      </c>
      <c r="D7" s="3">
        <v>153</v>
      </c>
      <c r="E7" s="3">
        <v>280</v>
      </c>
      <c r="F7" s="3">
        <v>216</v>
      </c>
      <c r="G7" s="3">
        <v>270</v>
      </c>
      <c r="H7" s="3">
        <v>304</v>
      </c>
      <c r="I7" s="3">
        <v>502</v>
      </c>
      <c r="J7" s="3">
        <v>513</v>
      </c>
      <c r="K7" s="3">
        <v>273</v>
      </c>
      <c r="L7" s="3">
        <v>54</v>
      </c>
      <c r="M7" s="3">
        <v>26</v>
      </c>
      <c r="N7" s="3">
        <f t="shared" si="0"/>
        <v>2778</v>
      </c>
      <c r="O7" s="3">
        <f t="shared" si="1"/>
        <v>1319</v>
      </c>
    </row>
    <row r="8" spans="1:15">
      <c r="A8" s="2">
        <v>0.1</v>
      </c>
      <c r="B8" s="3">
        <v>108</v>
      </c>
      <c r="C8" s="3">
        <v>79</v>
      </c>
      <c r="D8" s="3">
        <v>180</v>
      </c>
      <c r="E8" s="3">
        <v>326</v>
      </c>
      <c r="F8" s="3">
        <v>259</v>
      </c>
      <c r="G8" s="3">
        <v>347</v>
      </c>
      <c r="H8" s="3">
        <v>377</v>
      </c>
      <c r="I8" s="3">
        <v>619</v>
      </c>
      <c r="J8" s="3">
        <v>672</v>
      </c>
      <c r="K8" s="3">
        <v>417</v>
      </c>
      <c r="L8" s="3">
        <v>95</v>
      </c>
      <c r="M8" s="3">
        <v>32</v>
      </c>
      <c r="N8" s="3">
        <f t="shared" si="0"/>
        <v>3511</v>
      </c>
      <c r="O8" s="3">
        <f t="shared" si="1"/>
        <v>1668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17</v>
      </c>
      <c r="N9" s="7">
        <v>1951</v>
      </c>
      <c r="O9" s="8">
        <v>1220</v>
      </c>
    </row>
    <row r="10" spans="1:15">
      <c r="B10" t="s">
        <v>19</v>
      </c>
      <c r="C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dimension ref="A1:O10"/>
  <sheetViews>
    <sheetView workbookViewId="0">
      <selection activeCell="M9" sqref="M9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108</v>
      </c>
      <c r="C3" s="3">
        <v>79</v>
      </c>
      <c r="D3" s="3">
        <v>338</v>
      </c>
      <c r="E3" s="3">
        <v>128</v>
      </c>
      <c r="F3" s="3">
        <v>131</v>
      </c>
      <c r="G3" s="3">
        <v>157</v>
      </c>
      <c r="H3" s="3">
        <v>190</v>
      </c>
      <c r="I3" s="3">
        <v>331</v>
      </c>
      <c r="J3" s="3">
        <v>280</v>
      </c>
      <c r="K3" s="3">
        <v>93</v>
      </c>
      <c r="L3" s="3">
        <v>27</v>
      </c>
      <c r="M3" s="3">
        <v>16</v>
      </c>
      <c r="N3" s="3">
        <f>SUM(B3:M3)</f>
        <v>1878</v>
      </c>
      <c r="O3" s="3">
        <f>SUM(H3:J3)</f>
        <v>801</v>
      </c>
    </row>
    <row r="4" spans="1:15">
      <c r="A4" s="2">
        <v>0.9</v>
      </c>
      <c r="B4" s="3">
        <v>180</v>
      </c>
      <c r="C4" s="3">
        <v>79</v>
      </c>
      <c r="D4" s="3">
        <v>338</v>
      </c>
      <c r="E4">
        <v>189</v>
      </c>
      <c r="F4" s="3">
        <v>168</v>
      </c>
      <c r="G4" s="3">
        <v>201</v>
      </c>
      <c r="H4" s="3">
        <v>232</v>
      </c>
      <c r="I4" s="3">
        <v>392</v>
      </c>
      <c r="J4" s="3">
        <v>368</v>
      </c>
      <c r="K4" s="3">
        <v>149</v>
      </c>
      <c r="L4" s="3">
        <v>37</v>
      </c>
      <c r="M4" s="3">
        <v>18</v>
      </c>
      <c r="N4" s="3">
        <f t="shared" ref="N4:N8" si="0">SUM(B4:M4)</f>
        <v>2351</v>
      </c>
      <c r="O4" s="3">
        <f t="shared" ref="O4:O8" si="1">SUM(H4:J4)</f>
        <v>992</v>
      </c>
    </row>
    <row r="5" spans="1:15">
      <c r="A5" s="2">
        <v>0.75</v>
      </c>
      <c r="B5" s="3">
        <v>180</v>
      </c>
      <c r="C5" s="3">
        <v>79</v>
      </c>
      <c r="D5" s="3">
        <v>338</v>
      </c>
      <c r="E5">
        <v>220</v>
      </c>
      <c r="F5" s="3">
        <v>183</v>
      </c>
      <c r="G5" s="3">
        <v>224</v>
      </c>
      <c r="H5" s="3">
        <v>255</v>
      </c>
      <c r="I5" s="3">
        <v>427</v>
      </c>
      <c r="J5" s="3">
        <v>417</v>
      </c>
      <c r="K5" s="3">
        <v>193</v>
      </c>
      <c r="L5" s="3">
        <v>44</v>
      </c>
      <c r="M5" s="3">
        <v>21</v>
      </c>
      <c r="N5" s="3">
        <f t="shared" si="0"/>
        <v>2581</v>
      </c>
      <c r="O5" s="3">
        <f t="shared" si="1"/>
        <v>1099</v>
      </c>
    </row>
    <row r="6" spans="1:15">
      <c r="A6" s="2">
        <v>0.5</v>
      </c>
      <c r="B6" s="3">
        <v>180</v>
      </c>
      <c r="C6" s="3">
        <v>79</v>
      </c>
      <c r="D6" s="3">
        <v>338</v>
      </c>
      <c r="E6">
        <v>285</v>
      </c>
      <c r="F6" s="3">
        <v>209</v>
      </c>
      <c r="G6" s="3">
        <v>267</v>
      </c>
      <c r="H6" s="3">
        <v>298</v>
      </c>
      <c r="I6" s="3">
        <v>487</v>
      </c>
      <c r="J6" s="3">
        <v>513</v>
      </c>
      <c r="K6" s="3">
        <v>295</v>
      </c>
      <c r="L6" s="3">
        <v>58</v>
      </c>
      <c r="M6" s="3">
        <v>23</v>
      </c>
      <c r="N6" s="3">
        <f t="shared" si="0"/>
        <v>3032</v>
      </c>
      <c r="O6" s="3">
        <f t="shared" si="1"/>
        <v>1298</v>
      </c>
    </row>
    <row r="7" spans="1:15">
      <c r="A7" s="2">
        <v>0.25</v>
      </c>
      <c r="B7" s="3">
        <v>180</v>
      </c>
      <c r="C7" s="3">
        <v>79</v>
      </c>
      <c r="D7" s="3">
        <v>338</v>
      </c>
      <c r="E7">
        <v>309</v>
      </c>
      <c r="F7" s="3">
        <v>244</v>
      </c>
      <c r="G7" s="3">
        <v>326</v>
      </c>
      <c r="H7" s="3">
        <v>355</v>
      </c>
      <c r="I7" s="3">
        <v>583</v>
      </c>
      <c r="J7" s="3">
        <v>632</v>
      </c>
      <c r="K7" s="3">
        <v>391</v>
      </c>
      <c r="L7" s="3">
        <v>88</v>
      </c>
      <c r="M7" s="3">
        <v>25</v>
      </c>
      <c r="N7" s="3">
        <f t="shared" si="0"/>
        <v>3550</v>
      </c>
      <c r="O7" s="3">
        <f t="shared" si="1"/>
        <v>1570</v>
      </c>
    </row>
    <row r="8" spans="1:15">
      <c r="A8" s="2">
        <v>0.1</v>
      </c>
      <c r="B8" s="3">
        <v>180</v>
      </c>
      <c r="C8" s="3">
        <v>79</v>
      </c>
      <c r="D8" s="3">
        <v>338</v>
      </c>
      <c r="E8">
        <v>357</v>
      </c>
      <c r="F8" s="3">
        <v>292</v>
      </c>
      <c r="G8" s="3">
        <v>398</v>
      </c>
      <c r="H8" s="3">
        <v>429</v>
      </c>
      <c r="I8" s="3">
        <v>706</v>
      </c>
      <c r="J8" s="3">
        <v>774</v>
      </c>
      <c r="K8" s="3">
        <v>493</v>
      </c>
      <c r="L8" s="3">
        <v>116</v>
      </c>
      <c r="M8" s="3">
        <v>29</v>
      </c>
      <c r="N8" s="3">
        <f t="shared" si="0"/>
        <v>4191</v>
      </c>
      <c r="O8" s="3">
        <f t="shared" si="1"/>
        <v>1909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9" t="s">
        <v>17</v>
      </c>
      <c r="N9" s="9">
        <v>1951</v>
      </c>
      <c r="O9" s="10">
        <v>1220</v>
      </c>
    </row>
    <row r="10" spans="1:15">
      <c r="B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dimension ref="A1:O17"/>
  <sheetViews>
    <sheetView zoomScale="130" zoomScaleNormal="130" workbookViewId="0">
      <selection activeCell="M9" sqref="M9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108</v>
      </c>
      <c r="C3" s="3">
        <v>79</v>
      </c>
      <c r="D3">
        <v>338</v>
      </c>
      <c r="E3" s="3">
        <v>173</v>
      </c>
      <c r="F3" s="3">
        <v>134</v>
      </c>
      <c r="G3" s="3">
        <v>161</v>
      </c>
      <c r="H3" s="3">
        <v>193</v>
      </c>
      <c r="I3" s="3">
        <v>340</v>
      </c>
      <c r="J3" s="3">
        <v>287</v>
      </c>
      <c r="K3" s="3">
        <v>98</v>
      </c>
      <c r="L3" s="3">
        <v>15</v>
      </c>
      <c r="M3" s="3">
        <v>5</v>
      </c>
      <c r="N3" s="3">
        <f t="shared" ref="N3:N7" si="0">SUM(B3:M3)</f>
        <v>1931</v>
      </c>
      <c r="O3" s="3">
        <f>SUM(H3:J3)</f>
        <v>820</v>
      </c>
    </row>
    <row r="4" spans="1:15">
      <c r="A4" s="2">
        <v>0.9</v>
      </c>
      <c r="B4" s="3">
        <v>108</v>
      </c>
      <c r="C4" s="3">
        <v>79</v>
      </c>
      <c r="D4">
        <v>338</v>
      </c>
      <c r="E4" s="3">
        <v>173</v>
      </c>
      <c r="F4" s="3">
        <v>153</v>
      </c>
      <c r="G4" s="3">
        <v>181</v>
      </c>
      <c r="H4">
        <v>230</v>
      </c>
      <c r="I4" s="3">
        <v>385</v>
      </c>
      <c r="J4" s="3">
        <v>340</v>
      </c>
      <c r="K4" s="3">
        <v>125</v>
      </c>
      <c r="L4" s="3">
        <v>20</v>
      </c>
      <c r="M4" s="3">
        <v>8</v>
      </c>
      <c r="N4" s="3">
        <f t="shared" si="0"/>
        <v>2140</v>
      </c>
      <c r="O4" s="3">
        <f t="shared" ref="O4:O8" si="1">SUM(H4:J4)</f>
        <v>955</v>
      </c>
    </row>
    <row r="5" spans="1:15">
      <c r="A5" s="2">
        <v>0.75</v>
      </c>
      <c r="B5" s="3">
        <v>108</v>
      </c>
      <c r="C5" s="3">
        <v>79</v>
      </c>
      <c r="D5">
        <v>338</v>
      </c>
      <c r="E5" s="3">
        <v>173</v>
      </c>
      <c r="F5" s="3">
        <v>173</v>
      </c>
      <c r="G5" s="3">
        <v>209</v>
      </c>
      <c r="H5">
        <v>275</v>
      </c>
      <c r="I5" s="3">
        <v>460</v>
      </c>
      <c r="J5" s="3">
        <v>385</v>
      </c>
      <c r="K5" s="3">
        <v>145</v>
      </c>
      <c r="L5" s="3">
        <v>25</v>
      </c>
      <c r="M5" s="3">
        <v>10</v>
      </c>
      <c r="N5" s="3">
        <f t="shared" si="0"/>
        <v>2380</v>
      </c>
      <c r="O5" s="3">
        <f t="shared" si="1"/>
        <v>1120</v>
      </c>
    </row>
    <row r="6" spans="1:15">
      <c r="A6" s="2">
        <v>0.5</v>
      </c>
      <c r="B6" s="3">
        <v>108</v>
      </c>
      <c r="C6" s="3">
        <v>79</v>
      </c>
      <c r="D6">
        <v>338</v>
      </c>
      <c r="E6" s="3">
        <v>173</v>
      </c>
      <c r="F6" s="3">
        <v>190</v>
      </c>
      <c r="G6" s="3">
        <v>240</v>
      </c>
      <c r="H6">
        <v>320</v>
      </c>
      <c r="I6" s="3">
        <v>530</v>
      </c>
      <c r="J6" s="3">
        <v>460</v>
      </c>
      <c r="K6" s="3">
        <v>160</v>
      </c>
      <c r="L6" s="3">
        <v>30</v>
      </c>
      <c r="M6" s="3">
        <v>13</v>
      </c>
      <c r="N6" s="3">
        <f t="shared" si="0"/>
        <v>2641</v>
      </c>
      <c r="O6" s="3">
        <f t="shared" si="1"/>
        <v>1310</v>
      </c>
    </row>
    <row r="7" spans="1:15">
      <c r="A7" s="2">
        <v>0.25</v>
      </c>
      <c r="B7" s="3">
        <v>108</v>
      </c>
      <c r="C7" s="3">
        <v>79</v>
      </c>
      <c r="D7">
        <v>338</v>
      </c>
      <c r="E7" s="3">
        <v>173</v>
      </c>
      <c r="F7" s="3">
        <v>217</v>
      </c>
      <c r="G7" s="3">
        <v>282</v>
      </c>
      <c r="H7">
        <v>390</v>
      </c>
      <c r="I7" s="3">
        <v>620</v>
      </c>
      <c r="J7" s="3">
        <v>543</v>
      </c>
      <c r="K7" s="3">
        <v>322</v>
      </c>
      <c r="L7" s="3">
        <v>67</v>
      </c>
      <c r="M7" s="3">
        <v>20</v>
      </c>
      <c r="N7" s="3">
        <f t="shared" si="0"/>
        <v>3159</v>
      </c>
      <c r="O7" s="3">
        <f t="shared" si="1"/>
        <v>1553</v>
      </c>
    </row>
    <row r="8" spans="1:15">
      <c r="A8" s="2">
        <v>0.1</v>
      </c>
      <c r="B8" s="3">
        <v>108</v>
      </c>
      <c r="C8" s="3">
        <v>79</v>
      </c>
      <c r="D8">
        <v>338</v>
      </c>
      <c r="E8" s="3">
        <v>173</v>
      </c>
      <c r="F8" s="3">
        <v>256</v>
      </c>
      <c r="G8" s="3">
        <v>349</v>
      </c>
      <c r="H8">
        <v>453</v>
      </c>
      <c r="I8" s="3">
        <v>720</v>
      </c>
      <c r="J8" s="3">
        <v>652</v>
      </c>
      <c r="K8" s="3">
        <v>435</v>
      </c>
      <c r="L8" s="3">
        <v>102</v>
      </c>
      <c r="M8" s="3">
        <v>26</v>
      </c>
      <c r="N8" s="3">
        <f>SUM(B8:M8)</f>
        <v>3691</v>
      </c>
      <c r="O8" s="3">
        <f t="shared" si="1"/>
        <v>1825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6" t="s">
        <v>17</v>
      </c>
      <c r="N9" s="6">
        <v>1951</v>
      </c>
      <c r="O9" s="2">
        <v>1220</v>
      </c>
    </row>
    <row r="10" spans="1:15">
      <c r="B10" t="s">
        <v>19</v>
      </c>
      <c r="C10" t="s">
        <v>21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dimension ref="A1:O10"/>
  <sheetViews>
    <sheetView zoomScale="140" zoomScaleNormal="140" workbookViewId="0">
      <selection activeCell="B3" sqref="B3:F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108</v>
      </c>
      <c r="C3" s="3">
        <v>79</v>
      </c>
      <c r="D3">
        <v>338</v>
      </c>
      <c r="E3" s="3">
        <v>173</v>
      </c>
      <c r="F3" s="3">
        <v>139</v>
      </c>
      <c r="G3" s="3">
        <v>162</v>
      </c>
      <c r="H3" s="3">
        <v>225</v>
      </c>
      <c r="I3" s="3">
        <v>390</v>
      </c>
      <c r="J3" s="3">
        <v>340</v>
      </c>
      <c r="K3" s="3">
        <v>85</v>
      </c>
      <c r="L3" s="3">
        <v>15</v>
      </c>
      <c r="M3" s="3">
        <v>5</v>
      </c>
      <c r="N3" s="3">
        <f t="shared" ref="N3:N8" si="0">SUM(B3:M3)</f>
        <v>2059</v>
      </c>
      <c r="O3" s="3">
        <f>SUM(H3:J3)</f>
        <v>955</v>
      </c>
    </row>
    <row r="4" spans="1:15">
      <c r="A4" s="2">
        <v>0.9</v>
      </c>
      <c r="B4" s="3">
        <v>108</v>
      </c>
      <c r="C4" s="3">
        <v>79</v>
      </c>
      <c r="D4">
        <v>338</v>
      </c>
      <c r="E4" s="3">
        <v>173</v>
      </c>
      <c r="F4" s="3">
        <v>139</v>
      </c>
      <c r="G4" s="3">
        <v>193</v>
      </c>
      <c r="H4">
        <v>260</v>
      </c>
      <c r="I4">
        <v>440</v>
      </c>
      <c r="J4" s="3">
        <v>400</v>
      </c>
      <c r="K4" s="3">
        <v>110</v>
      </c>
      <c r="L4" s="3">
        <v>20</v>
      </c>
      <c r="M4" s="3">
        <v>9</v>
      </c>
      <c r="N4" s="3">
        <f t="shared" si="0"/>
        <v>2269</v>
      </c>
      <c r="O4" s="3">
        <f t="shared" ref="O4:O8" si="1">SUM(H4:J4)</f>
        <v>1100</v>
      </c>
    </row>
    <row r="5" spans="1:15">
      <c r="A5" s="2">
        <v>0.75</v>
      </c>
      <c r="B5" s="3">
        <v>108</v>
      </c>
      <c r="C5" s="3">
        <v>79</v>
      </c>
      <c r="D5">
        <v>338</v>
      </c>
      <c r="E5" s="3">
        <v>173</v>
      </c>
      <c r="F5" s="3">
        <v>139</v>
      </c>
      <c r="G5" s="3">
        <v>202</v>
      </c>
      <c r="H5">
        <v>280</v>
      </c>
      <c r="I5">
        <v>480</v>
      </c>
      <c r="J5" s="3">
        <v>430</v>
      </c>
      <c r="K5" s="3">
        <v>125</v>
      </c>
      <c r="L5" s="3">
        <v>25</v>
      </c>
      <c r="M5" s="3">
        <v>10</v>
      </c>
      <c r="N5" s="3">
        <f t="shared" si="0"/>
        <v>2389</v>
      </c>
      <c r="O5" s="3">
        <f t="shared" si="1"/>
        <v>1190</v>
      </c>
    </row>
    <row r="6" spans="1:15">
      <c r="A6" s="2">
        <v>0.5</v>
      </c>
      <c r="B6" s="3">
        <v>108</v>
      </c>
      <c r="C6" s="3">
        <v>79</v>
      </c>
      <c r="D6">
        <v>338</v>
      </c>
      <c r="E6" s="3">
        <v>173</v>
      </c>
      <c r="F6" s="3">
        <v>139</v>
      </c>
      <c r="G6" s="3">
        <v>230</v>
      </c>
      <c r="H6">
        <v>320</v>
      </c>
      <c r="I6">
        <v>535</v>
      </c>
      <c r="J6" s="3">
        <v>470</v>
      </c>
      <c r="K6" s="3">
        <v>145</v>
      </c>
      <c r="L6" s="3">
        <v>30</v>
      </c>
      <c r="M6" s="3">
        <v>13</v>
      </c>
      <c r="N6" s="3">
        <f t="shared" si="0"/>
        <v>2580</v>
      </c>
      <c r="O6" s="3">
        <f t="shared" si="1"/>
        <v>1325</v>
      </c>
    </row>
    <row r="7" spans="1:15">
      <c r="A7" s="2">
        <v>0.25</v>
      </c>
      <c r="B7" s="3">
        <v>108</v>
      </c>
      <c r="C7" s="3">
        <v>79</v>
      </c>
      <c r="D7">
        <v>338</v>
      </c>
      <c r="E7" s="3">
        <v>173</v>
      </c>
      <c r="F7" s="3">
        <v>139</v>
      </c>
      <c r="G7" s="3">
        <v>269</v>
      </c>
      <c r="H7">
        <v>350</v>
      </c>
      <c r="I7">
        <v>570</v>
      </c>
      <c r="J7" s="3">
        <v>570</v>
      </c>
      <c r="K7" s="3">
        <v>290</v>
      </c>
      <c r="L7" s="3">
        <v>55</v>
      </c>
      <c r="M7" s="3">
        <v>18</v>
      </c>
      <c r="N7" s="3">
        <f t="shared" si="0"/>
        <v>2959</v>
      </c>
      <c r="O7" s="3">
        <f t="shared" si="1"/>
        <v>1490</v>
      </c>
    </row>
    <row r="8" spans="1:15">
      <c r="A8" s="2">
        <v>0.1</v>
      </c>
      <c r="B8" s="3">
        <v>108</v>
      </c>
      <c r="C8" s="3">
        <v>79</v>
      </c>
      <c r="D8">
        <v>338</v>
      </c>
      <c r="E8" s="3">
        <v>173</v>
      </c>
      <c r="F8" s="3">
        <v>139</v>
      </c>
      <c r="G8" s="3">
        <v>294</v>
      </c>
      <c r="H8">
        <v>390</v>
      </c>
      <c r="I8">
        <v>650</v>
      </c>
      <c r="J8" s="3">
        <v>690</v>
      </c>
      <c r="K8" s="3">
        <v>360</v>
      </c>
      <c r="L8" s="3">
        <v>75</v>
      </c>
      <c r="M8" s="3">
        <v>23</v>
      </c>
      <c r="N8" s="3">
        <f t="shared" si="0"/>
        <v>3319</v>
      </c>
      <c r="O8" s="3">
        <f t="shared" si="1"/>
        <v>1730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17</v>
      </c>
      <c r="N9" s="6">
        <v>1951</v>
      </c>
      <c r="O9" s="2">
        <v>1220</v>
      </c>
    </row>
    <row r="10" spans="1:15">
      <c r="B10" t="s">
        <v>19</v>
      </c>
      <c r="C1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dimension ref="A1:O10"/>
  <sheetViews>
    <sheetView zoomScale="140" zoomScaleNormal="140" workbookViewId="0">
      <selection activeCell="B3" sqref="B3:G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108</v>
      </c>
      <c r="C3" s="3">
        <v>79</v>
      </c>
      <c r="D3">
        <v>338</v>
      </c>
      <c r="E3" s="3">
        <v>173</v>
      </c>
      <c r="F3" s="3">
        <v>139</v>
      </c>
      <c r="G3" s="3">
        <v>413</v>
      </c>
      <c r="H3" s="3">
        <v>350</v>
      </c>
      <c r="I3" s="3">
        <v>600</v>
      </c>
      <c r="J3" s="3">
        <v>547</v>
      </c>
      <c r="K3" s="3">
        <v>225</v>
      </c>
      <c r="L3" s="3">
        <v>20</v>
      </c>
      <c r="M3" s="3">
        <v>7</v>
      </c>
      <c r="N3" s="3">
        <f t="shared" ref="N3:N8" si="0">SUM(B3:M3)</f>
        <v>2999</v>
      </c>
      <c r="O3" s="3">
        <f>SUM(H3:J3)</f>
        <v>1497</v>
      </c>
    </row>
    <row r="4" spans="1:15">
      <c r="A4" s="2">
        <v>0.9</v>
      </c>
      <c r="B4" s="3">
        <v>108</v>
      </c>
      <c r="C4" s="3">
        <v>79</v>
      </c>
      <c r="D4">
        <v>338</v>
      </c>
      <c r="E4" s="3">
        <v>173</v>
      </c>
      <c r="F4" s="3">
        <v>139</v>
      </c>
      <c r="G4" s="3">
        <v>413</v>
      </c>
      <c r="H4" s="3">
        <v>376</v>
      </c>
      <c r="I4" s="3">
        <v>664</v>
      </c>
      <c r="J4" s="3">
        <v>605</v>
      </c>
      <c r="K4" s="3">
        <v>235</v>
      </c>
      <c r="L4" s="3">
        <v>30</v>
      </c>
      <c r="M4" s="3">
        <v>9</v>
      </c>
      <c r="N4" s="3">
        <f t="shared" si="0"/>
        <v>3169</v>
      </c>
      <c r="O4" s="3">
        <f t="shared" ref="O4:O8" si="1">SUM(H4:J4)</f>
        <v>1645</v>
      </c>
    </row>
    <row r="5" spans="1:15">
      <c r="A5" s="2">
        <v>0.75</v>
      </c>
      <c r="B5" s="3">
        <v>108</v>
      </c>
      <c r="C5" s="3">
        <v>79</v>
      </c>
      <c r="D5">
        <v>338</v>
      </c>
      <c r="E5" s="3">
        <v>173</v>
      </c>
      <c r="F5" s="3">
        <v>139</v>
      </c>
      <c r="G5" s="3">
        <v>413</v>
      </c>
      <c r="H5" s="3">
        <v>392</v>
      </c>
      <c r="I5" s="3">
        <v>685</v>
      </c>
      <c r="J5" s="3">
        <v>635</v>
      </c>
      <c r="K5" s="3">
        <v>250</v>
      </c>
      <c r="L5" s="3">
        <v>42</v>
      </c>
      <c r="M5" s="3">
        <v>15</v>
      </c>
      <c r="N5" s="3">
        <f t="shared" si="0"/>
        <v>3269</v>
      </c>
      <c r="O5" s="3">
        <f t="shared" si="1"/>
        <v>1712</v>
      </c>
    </row>
    <row r="6" spans="1:15">
      <c r="A6" s="2">
        <v>0.5</v>
      </c>
      <c r="B6" s="3">
        <v>108</v>
      </c>
      <c r="C6" s="3">
        <v>79</v>
      </c>
      <c r="D6">
        <v>338</v>
      </c>
      <c r="E6" s="3">
        <v>173</v>
      </c>
      <c r="F6" s="3">
        <v>139</v>
      </c>
      <c r="G6" s="3">
        <v>413</v>
      </c>
      <c r="H6" s="3">
        <v>410</v>
      </c>
      <c r="I6" s="3">
        <v>710</v>
      </c>
      <c r="J6" s="3">
        <v>670</v>
      </c>
      <c r="K6" s="3">
        <v>260</v>
      </c>
      <c r="L6" s="3">
        <v>54</v>
      </c>
      <c r="M6" s="3">
        <v>21</v>
      </c>
      <c r="N6" s="3">
        <f t="shared" si="0"/>
        <v>3375</v>
      </c>
      <c r="O6" s="3">
        <f t="shared" si="1"/>
        <v>1790</v>
      </c>
    </row>
    <row r="7" spans="1:15">
      <c r="A7" s="2">
        <v>0.25</v>
      </c>
      <c r="B7" s="3">
        <v>108</v>
      </c>
      <c r="C7" s="3">
        <v>79</v>
      </c>
      <c r="D7">
        <v>338</v>
      </c>
      <c r="E7" s="3">
        <v>173</v>
      </c>
      <c r="F7" s="3">
        <v>139</v>
      </c>
      <c r="G7" s="3">
        <v>413</v>
      </c>
      <c r="H7" s="3">
        <v>454</v>
      </c>
      <c r="I7" s="3">
        <v>782</v>
      </c>
      <c r="J7" s="3">
        <v>725</v>
      </c>
      <c r="K7" s="3">
        <v>289</v>
      </c>
      <c r="L7" s="3">
        <v>72</v>
      </c>
      <c r="M7" s="3">
        <v>27</v>
      </c>
      <c r="N7" s="3">
        <f t="shared" si="0"/>
        <v>3599</v>
      </c>
      <c r="O7" s="3">
        <f t="shared" si="1"/>
        <v>1961</v>
      </c>
    </row>
    <row r="8" spans="1:15">
      <c r="A8" s="2">
        <v>0.1</v>
      </c>
      <c r="B8" s="3">
        <v>108</v>
      </c>
      <c r="C8" s="3">
        <v>79</v>
      </c>
      <c r="D8">
        <v>338</v>
      </c>
      <c r="E8" s="3">
        <v>173</v>
      </c>
      <c r="F8" s="3">
        <v>139</v>
      </c>
      <c r="G8" s="3">
        <v>413</v>
      </c>
      <c r="H8" s="3">
        <v>518</v>
      </c>
      <c r="I8" s="3">
        <v>854</v>
      </c>
      <c r="J8" s="3">
        <v>780</v>
      </c>
      <c r="K8" s="3">
        <v>318</v>
      </c>
      <c r="L8" s="3">
        <v>99</v>
      </c>
      <c r="M8" s="3">
        <v>40</v>
      </c>
      <c r="N8" s="3">
        <f t="shared" si="0"/>
        <v>3859</v>
      </c>
      <c r="O8" s="3">
        <f t="shared" si="1"/>
        <v>2152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17</v>
      </c>
      <c r="N9" s="6">
        <v>1951</v>
      </c>
      <c r="O9" s="2">
        <v>1220</v>
      </c>
    </row>
    <row r="10" spans="1:15">
      <c r="B10" t="s">
        <v>19</v>
      </c>
      <c r="C10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dimension ref="A1:O10"/>
  <sheetViews>
    <sheetView tabSelected="1" zoomScale="140" zoomScaleNormal="140" workbookViewId="0">
      <selection activeCell="E9" sqref="E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108</v>
      </c>
      <c r="C3" s="3">
        <v>79</v>
      </c>
      <c r="D3">
        <v>338</v>
      </c>
      <c r="E3" s="3">
        <v>173</v>
      </c>
      <c r="F3" s="3">
        <v>139</v>
      </c>
      <c r="G3" s="3">
        <v>413</v>
      </c>
      <c r="H3" s="3">
        <v>435</v>
      </c>
      <c r="I3" s="3">
        <v>610</v>
      </c>
      <c r="J3" s="3">
        <v>560</v>
      </c>
      <c r="K3" s="3">
        <v>200</v>
      </c>
      <c r="L3" s="3">
        <v>40</v>
      </c>
      <c r="M3" s="3">
        <v>14</v>
      </c>
      <c r="N3" s="3">
        <f t="shared" ref="N3:N8" si="0">SUM(B3:M3)</f>
        <v>3109</v>
      </c>
      <c r="O3" s="3">
        <f>SUM(H3:J3)</f>
        <v>1605</v>
      </c>
    </row>
    <row r="4" spans="1:15">
      <c r="A4" s="2">
        <v>0.9</v>
      </c>
      <c r="B4" s="3">
        <v>108</v>
      </c>
      <c r="C4" s="3">
        <v>79</v>
      </c>
      <c r="D4">
        <v>338</v>
      </c>
      <c r="E4" s="3">
        <v>173</v>
      </c>
      <c r="F4" s="3">
        <v>139</v>
      </c>
      <c r="G4" s="3">
        <v>413</v>
      </c>
      <c r="H4" s="3">
        <v>435</v>
      </c>
      <c r="I4" s="3">
        <v>650</v>
      </c>
      <c r="J4" s="3">
        <v>600</v>
      </c>
      <c r="K4" s="3">
        <v>225</v>
      </c>
      <c r="L4" s="3">
        <v>43</v>
      </c>
      <c r="M4" s="3">
        <v>16</v>
      </c>
      <c r="N4" s="3">
        <f t="shared" si="0"/>
        <v>3219</v>
      </c>
      <c r="O4" s="3">
        <f t="shared" ref="O4:O8" si="1">SUM(H4:J4)</f>
        <v>1685</v>
      </c>
    </row>
    <row r="5" spans="1:15">
      <c r="A5" s="2">
        <v>0.75</v>
      </c>
      <c r="B5" s="3">
        <v>108</v>
      </c>
      <c r="C5" s="3">
        <v>79</v>
      </c>
      <c r="D5">
        <v>338</v>
      </c>
      <c r="E5" s="3">
        <v>173</v>
      </c>
      <c r="F5" s="3">
        <v>139</v>
      </c>
      <c r="G5" s="3">
        <v>413</v>
      </c>
      <c r="H5" s="3">
        <v>435</v>
      </c>
      <c r="I5" s="3">
        <v>670</v>
      </c>
      <c r="J5" s="3">
        <v>620</v>
      </c>
      <c r="K5" s="3">
        <v>235</v>
      </c>
      <c r="L5" s="3">
        <v>46</v>
      </c>
      <c r="M5" s="3">
        <v>18</v>
      </c>
      <c r="N5" s="3">
        <f t="shared" si="0"/>
        <v>3274</v>
      </c>
      <c r="O5" s="3">
        <f t="shared" si="1"/>
        <v>1725</v>
      </c>
    </row>
    <row r="6" spans="1:15">
      <c r="A6" s="2">
        <v>0.5</v>
      </c>
      <c r="B6" s="3">
        <v>108</v>
      </c>
      <c r="C6" s="3">
        <v>79</v>
      </c>
      <c r="D6">
        <v>338</v>
      </c>
      <c r="E6" s="3">
        <v>173</v>
      </c>
      <c r="F6" s="3">
        <v>139</v>
      </c>
      <c r="G6" s="3">
        <v>413</v>
      </c>
      <c r="H6" s="3">
        <v>435</v>
      </c>
      <c r="I6" s="3">
        <v>690</v>
      </c>
      <c r="J6" s="3">
        <v>640</v>
      </c>
      <c r="K6" s="3">
        <v>245</v>
      </c>
      <c r="L6" s="3">
        <v>50</v>
      </c>
      <c r="M6" s="3">
        <v>20</v>
      </c>
      <c r="N6" s="3">
        <f t="shared" si="0"/>
        <v>3330</v>
      </c>
      <c r="O6" s="3">
        <f t="shared" si="1"/>
        <v>1765</v>
      </c>
    </row>
    <row r="7" spans="1:15">
      <c r="A7" s="2">
        <v>0.25</v>
      </c>
      <c r="B7" s="3">
        <v>108</v>
      </c>
      <c r="C7" s="3">
        <v>79</v>
      </c>
      <c r="D7">
        <v>338</v>
      </c>
      <c r="E7" s="3">
        <v>173</v>
      </c>
      <c r="F7" s="3">
        <v>139</v>
      </c>
      <c r="G7" s="3">
        <v>413</v>
      </c>
      <c r="H7" s="3">
        <v>435</v>
      </c>
      <c r="I7" s="3">
        <v>720</v>
      </c>
      <c r="J7" s="3">
        <v>670</v>
      </c>
      <c r="K7" s="3">
        <v>265</v>
      </c>
      <c r="L7" s="3">
        <v>56</v>
      </c>
      <c r="M7" s="3">
        <v>23</v>
      </c>
      <c r="N7" s="3">
        <f t="shared" si="0"/>
        <v>3419</v>
      </c>
      <c r="O7" s="3">
        <f t="shared" si="1"/>
        <v>1825</v>
      </c>
    </row>
    <row r="8" spans="1:15">
      <c r="A8" s="2">
        <v>0.1</v>
      </c>
      <c r="B8" s="3">
        <v>108</v>
      </c>
      <c r="C8" s="3">
        <v>79</v>
      </c>
      <c r="D8">
        <v>338</v>
      </c>
      <c r="E8" s="3">
        <v>173</v>
      </c>
      <c r="F8" s="3">
        <v>139</v>
      </c>
      <c r="G8" s="3">
        <v>413</v>
      </c>
      <c r="H8" s="3">
        <v>435</v>
      </c>
      <c r="I8" s="3">
        <v>760</v>
      </c>
      <c r="J8" s="3">
        <v>695</v>
      </c>
      <c r="K8" s="3">
        <v>290</v>
      </c>
      <c r="L8" s="3">
        <v>62</v>
      </c>
      <c r="M8" s="3">
        <v>27</v>
      </c>
      <c r="N8" s="3">
        <f t="shared" si="0"/>
        <v>3519</v>
      </c>
      <c r="O8" s="3">
        <f t="shared" si="1"/>
        <v>1890</v>
      </c>
    </row>
    <row r="9" spans="1:15">
      <c r="A9" s="3"/>
      <c r="B9" s="3"/>
      <c r="C9" s="3"/>
      <c r="D9" s="3"/>
      <c r="E9" s="3"/>
      <c r="F9" s="3"/>
      <c r="G9" s="3"/>
      <c r="K9" s="3"/>
      <c r="M9" s="6" t="s">
        <v>17</v>
      </c>
      <c r="N9" s="6">
        <v>1951</v>
      </c>
      <c r="O9" s="2">
        <v>1220</v>
      </c>
    </row>
    <row r="10" spans="1:15">
      <c r="B10" t="s">
        <v>19</v>
      </c>
      <c r="C10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dimension ref="A1:O9"/>
  <sheetViews>
    <sheetView workbookViewId="0">
      <selection sqref="A1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Abbey Hill</cp:lastModifiedBy>
  <dcterms:created xsi:type="dcterms:W3CDTF">2021-12-13T20:28:37Z</dcterms:created>
  <dcterms:modified xsi:type="dcterms:W3CDTF">2022-02-01T18:00:08Z</dcterms:modified>
</cp:coreProperties>
</file>