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InputData/SJWSI_Forecasts/"/>
    </mc:Choice>
  </mc:AlternateContent>
  <xr:revisionPtr revIDLastSave="0" documentId="13_ncr:1_{A47169AF-433B-3548-A377-8831C3687777}" xr6:coauthVersionLast="47" xr6:coauthVersionMax="47" xr10:uidLastSave="{00000000-0000-0000-0000-000000000000}"/>
  <bookViews>
    <workbookView xWindow="460" yWindow="500" windowWidth="25640" windowHeight="9760" activeTab="5" xr2:uid="{B8608FD9-7FAA-6C45-8B0B-DF9D3B0779E5}"/>
  </bookViews>
  <sheets>
    <sheet name="Dec1" sheetId="2" r:id="rId1"/>
    <sheet name="Jan1" sheetId="3" r:id="rId2"/>
    <sheet name="Feb1" sheetId="4" r:id="rId3"/>
    <sheet name="Mar1" sheetId="5" r:id="rId4"/>
    <sheet name="Apr1" sheetId="6" r:id="rId5"/>
    <sheet name="May1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7" l="1"/>
  <c r="N8" i="7"/>
  <c r="O7" i="7"/>
  <c r="N7" i="7"/>
  <c r="O6" i="7"/>
  <c r="N6" i="7"/>
  <c r="O5" i="7"/>
  <c r="N5" i="7"/>
  <c r="O4" i="7"/>
  <c r="N4" i="7"/>
  <c r="O3" i="7"/>
  <c r="N3" i="7"/>
  <c r="O8" i="2"/>
  <c r="O4" i="2"/>
  <c r="O5" i="2"/>
  <c r="O6" i="2"/>
  <c r="O7" i="2"/>
  <c r="O3" i="2"/>
  <c r="N8" i="2"/>
  <c r="N7" i="2"/>
  <c r="N6" i="2"/>
  <c r="N5" i="2"/>
  <c r="N4" i="2"/>
  <c r="N3" i="2"/>
  <c r="O8" i="6"/>
  <c r="N8" i="6"/>
  <c r="O7" i="6"/>
  <c r="N7" i="6"/>
  <c r="O6" i="6"/>
  <c r="N6" i="6"/>
  <c r="O5" i="6"/>
  <c r="N5" i="6"/>
  <c r="O4" i="6"/>
  <c r="N4" i="6"/>
  <c r="O3" i="6"/>
  <c r="N3" i="6"/>
  <c r="O4" i="5"/>
  <c r="O5" i="5"/>
  <c r="O6" i="5"/>
  <c r="O7" i="5"/>
  <c r="O8" i="5"/>
  <c r="O3" i="5"/>
  <c r="N8" i="5"/>
  <c r="N7" i="5"/>
  <c r="N6" i="5"/>
  <c r="N5" i="5"/>
  <c r="N4" i="5"/>
  <c r="N3" i="5"/>
  <c r="O4" i="4"/>
  <c r="O5" i="4"/>
  <c r="O6" i="4"/>
  <c r="O7" i="4"/>
  <c r="O8" i="4"/>
  <c r="O3" i="4"/>
  <c r="N8" i="4"/>
  <c r="N7" i="4"/>
  <c r="N6" i="4"/>
  <c r="N5" i="4"/>
  <c r="N4" i="4"/>
  <c r="N3" i="4"/>
  <c r="O8" i="3"/>
  <c r="N8" i="3"/>
  <c r="O7" i="3"/>
  <c r="N7" i="3"/>
  <c r="O6" i="3"/>
  <c r="N6" i="3"/>
  <c r="O5" i="3"/>
  <c r="N5" i="3"/>
  <c r="O4" i="3"/>
  <c r="N4" i="3"/>
  <c r="O3" i="3"/>
  <c r="N3" i="3"/>
  <c r="O4" i="1"/>
  <c r="O5" i="1"/>
  <c r="O6" i="1"/>
  <c r="O7" i="1"/>
  <c r="O8" i="1"/>
  <c r="O3" i="1"/>
  <c r="N4" i="1"/>
  <c r="N5" i="1"/>
  <c r="N6" i="1"/>
  <c r="N7" i="1"/>
  <c r="N8" i="1"/>
  <c r="N3" i="1"/>
</calcChain>
</file>

<file path=xl/sharedStrings.xml><?xml version="1.0" encoding="utf-8"?>
<sst xmlns="http://schemas.openxmlformats.org/spreadsheetml/2006/main" count="120" uniqueCount="18">
  <si>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</si>
  <si>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</si>
  <si>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</si>
  <si>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</si>
  <si>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</si>
  <si>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</si>
  <si>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</si>
  <si>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</si>
  <si>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</si>
  <si>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</si>
  <si>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</si>
  <si>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</si>
  <si>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</si>
  <si>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</si>
  <si>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</si>
  <si>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</si>
  <si>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</si>
  <si>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>I just put in actuals for April montly FNF, the forecast is still technically from April1 B120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</si>
</sst>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AE6A-D6E9-ED49-8790-B11D3DDB31E3}">
  <dimension ref="A1:O9"/>
  <sheetViews>
    <sheetView workbookViewId="0">
      <selection activeCell="D4" sqref="D4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27</v>
      </c>
      <c r="C3" s="3">
        <v>93</v>
      </c>
      <c r="D3" s="3">
        <v>14</v>
      </c>
      <c r="E3">
        <v>20</v>
      </c>
      <c r="F3">
        <v>36</v>
      </c>
      <c r="G3">
        <v>56</v>
      </c>
      <c r="H3">
        <v>145</v>
      </c>
      <c r="I3">
        <v>200</v>
      </c>
      <c r="J3">
        <v>45</v>
      </c>
      <c r="K3">
        <v>10</v>
      </c>
      <c r="L3">
        <v>3</v>
      </c>
      <c r="M3">
        <v>0</v>
      </c>
      <c r="N3" s="3">
        <f t="shared" ref="N3:N8" si="0">SUM(B3:M3)</f>
        <v>649</v>
      </c>
      <c r="O3" s="3">
        <f>SUM(H3:J3)</f>
        <v>390</v>
      </c>
    </row>
    <row r="4" spans="1:15">
      <c r="A4" s="2">
        <v>0.9</v>
      </c>
      <c r="B4" s="3">
        <v>27</v>
      </c>
      <c r="C4" s="3">
        <v>93</v>
      </c>
      <c r="D4" s="3">
        <v>26</v>
      </c>
      <c r="E4">
        <v>39</v>
      </c>
      <c r="F4">
        <v>69</v>
      </c>
      <c r="G4">
        <v>110</v>
      </c>
      <c r="H4">
        <v>190</v>
      </c>
      <c r="I4">
        <v>285</v>
      </c>
      <c r="J4">
        <v>135</v>
      </c>
      <c r="K4">
        <v>20</v>
      </c>
      <c r="L4">
        <v>5</v>
      </c>
      <c r="M4">
        <v>1</v>
      </c>
      <c r="N4" s="3">
        <f t="shared" si="0"/>
        <v>1000</v>
      </c>
      <c r="O4" s="3">
        <f t="shared" ref="O4:O8" si="1">SUM(H4:J4)</f>
        <v>610</v>
      </c>
    </row>
    <row r="5" spans="1:15">
      <c r="A5" s="2">
        <v>0.75</v>
      </c>
      <c r="B5" s="3">
        <v>27</v>
      </c>
      <c r="C5" s="3">
        <v>93</v>
      </c>
      <c r="D5" s="3">
        <v>49</v>
      </c>
      <c r="E5">
        <v>73</v>
      </c>
      <c r="F5">
        <v>100</v>
      </c>
      <c r="G5">
        <v>145</v>
      </c>
      <c r="H5">
        <v>235</v>
      </c>
      <c r="I5">
        <v>375</v>
      </c>
      <c r="J5">
        <v>240</v>
      </c>
      <c r="K5">
        <v>40</v>
      </c>
      <c r="L5">
        <v>10</v>
      </c>
      <c r="M5">
        <v>3</v>
      </c>
      <c r="N5" s="3">
        <f t="shared" si="0"/>
        <v>1390</v>
      </c>
      <c r="O5" s="3">
        <f t="shared" si="1"/>
        <v>850</v>
      </c>
    </row>
    <row r="6" spans="1:15">
      <c r="A6" s="2">
        <v>0.5</v>
      </c>
      <c r="B6" s="3">
        <v>27</v>
      </c>
      <c r="C6" s="3">
        <v>93</v>
      </c>
      <c r="D6" s="3">
        <v>70</v>
      </c>
      <c r="E6">
        <v>110</v>
      </c>
      <c r="F6">
        <v>135</v>
      </c>
      <c r="G6">
        <v>175</v>
      </c>
      <c r="H6">
        <v>280</v>
      </c>
      <c r="I6">
        <v>460</v>
      </c>
      <c r="J6">
        <v>345</v>
      </c>
      <c r="K6">
        <v>65</v>
      </c>
      <c r="L6">
        <v>14</v>
      </c>
      <c r="M6">
        <v>6</v>
      </c>
      <c r="N6" s="3">
        <f t="shared" si="0"/>
        <v>1780</v>
      </c>
      <c r="O6" s="3">
        <f t="shared" si="1"/>
        <v>1085</v>
      </c>
    </row>
    <row r="7" spans="1:15">
      <c r="A7" s="2">
        <v>0.25</v>
      </c>
      <c r="B7" s="3">
        <v>27</v>
      </c>
      <c r="C7" s="3">
        <v>93</v>
      </c>
      <c r="D7" s="3">
        <v>107</v>
      </c>
      <c r="E7">
        <v>170</v>
      </c>
      <c r="F7">
        <v>190</v>
      </c>
      <c r="G7">
        <v>240</v>
      </c>
      <c r="H7">
        <v>340</v>
      </c>
      <c r="I7">
        <v>550</v>
      </c>
      <c r="J7">
        <v>470</v>
      </c>
      <c r="K7">
        <v>150</v>
      </c>
      <c r="L7">
        <v>30</v>
      </c>
      <c r="M7">
        <v>13</v>
      </c>
      <c r="N7" s="3">
        <f t="shared" si="0"/>
        <v>2380</v>
      </c>
      <c r="O7" s="3">
        <f t="shared" si="1"/>
        <v>1360</v>
      </c>
    </row>
    <row r="8" spans="1:15">
      <c r="A8" s="2">
        <v>0.1</v>
      </c>
      <c r="B8" s="3">
        <v>27</v>
      </c>
      <c r="C8" s="3">
        <v>93</v>
      </c>
      <c r="D8" s="3">
        <v>150</v>
      </c>
      <c r="E8">
        <v>225</v>
      </c>
      <c r="F8">
        <v>245</v>
      </c>
      <c r="G8">
        <v>310</v>
      </c>
      <c r="H8">
        <v>400</v>
      </c>
      <c r="I8">
        <v>640</v>
      </c>
      <c r="J8">
        <v>600</v>
      </c>
      <c r="K8">
        <v>240</v>
      </c>
      <c r="L8">
        <v>50</v>
      </c>
      <c r="M8">
        <v>20</v>
      </c>
      <c r="N8" s="3">
        <f t="shared" si="0"/>
        <v>3000</v>
      </c>
      <c r="O8" s="3">
        <f t="shared" si="1"/>
        <v>1640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8277-4183-CE4D-8DEE-8E12B56606A5}">
  <dimension ref="A1:O9"/>
  <sheetViews>
    <sheetView workbookViewId="0">
      <selection activeCell="K15" sqref="K15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27</v>
      </c>
      <c r="C3" s="3">
        <v>93</v>
      </c>
      <c r="D3" s="3">
        <v>32</v>
      </c>
      <c r="E3">
        <v>19</v>
      </c>
      <c r="F3">
        <v>34</v>
      </c>
      <c r="G3">
        <v>54</v>
      </c>
      <c r="H3">
        <v>96</v>
      </c>
      <c r="I3">
        <v>122</v>
      </c>
      <c r="J3">
        <v>57</v>
      </c>
      <c r="K3">
        <v>13</v>
      </c>
      <c r="L3">
        <v>3</v>
      </c>
      <c r="M3">
        <v>0</v>
      </c>
      <c r="N3" s="3">
        <f t="shared" ref="N3:N8" si="0">SUM(B3:M3)</f>
        <v>550</v>
      </c>
      <c r="O3" s="3" t="e">
        <f>SUM(#REF!)</f>
        <v>#REF!</v>
      </c>
    </row>
    <row r="4" spans="1:15">
      <c r="A4" s="2">
        <v>0.9</v>
      </c>
      <c r="B4" s="3">
        <v>27</v>
      </c>
      <c r="C4" s="3">
        <v>93</v>
      </c>
      <c r="D4" s="3">
        <v>32</v>
      </c>
      <c r="E4">
        <v>32</v>
      </c>
      <c r="F4">
        <v>56</v>
      </c>
      <c r="G4">
        <v>87</v>
      </c>
      <c r="H4">
        <v>146</v>
      </c>
      <c r="I4">
        <v>190</v>
      </c>
      <c r="J4">
        <v>96</v>
      </c>
      <c r="K4">
        <v>21</v>
      </c>
      <c r="L4">
        <v>5</v>
      </c>
      <c r="M4">
        <v>1</v>
      </c>
      <c r="N4" s="3">
        <f t="shared" si="0"/>
        <v>786</v>
      </c>
      <c r="O4" s="3" t="e">
        <f>SUM(#REF!)</f>
        <v>#REF!</v>
      </c>
    </row>
    <row r="5" spans="1:15">
      <c r="A5" s="2">
        <v>0.75</v>
      </c>
      <c r="B5" s="3">
        <v>27</v>
      </c>
      <c r="C5" s="3">
        <v>93</v>
      </c>
      <c r="D5" s="3">
        <v>32</v>
      </c>
      <c r="E5">
        <v>50</v>
      </c>
      <c r="F5">
        <v>82</v>
      </c>
      <c r="G5">
        <v>124</v>
      </c>
      <c r="H5">
        <v>183</v>
      </c>
      <c r="I5">
        <v>263</v>
      </c>
      <c r="J5">
        <v>162</v>
      </c>
      <c r="K5">
        <v>33</v>
      </c>
      <c r="L5">
        <v>9</v>
      </c>
      <c r="M5">
        <v>3</v>
      </c>
      <c r="N5" s="3">
        <f t="shared" si="0"/>
        <v>1061</v>
      </c>
      <c r="O5" s="3" t="e">
        <f>SUM(#REF!)</f>
        <v>#REF!</v>
      </c>
    </row>
    <row r="6" spans="1:15">
      <c r="A6" s="2">
        <v>0.5</v>
      </c>
      <c r="B6" s="3">
        <v>27</v>
      </c>
      <c r="C6" s="3">
        <v>93</v>
      </c>
      <c r="D6" s="3">
        <v>32</v>
      </c>
      <c r="E6">
        <v>95</v>
      </c>
      <c r="F6">
        <v>118</v>
      </c>
      <c r="G6">
        <v>160</v>
      </c>
      <c r="H6">
        <v>210</v>
      </c>
      <c r="I6">
        <v>341</v>
      </c>
      <c r="J6">
        <v>253</v>
      </c>
      <c r="K6">
        <v>67</v>
      </c>
      <c r="L6">
        <v>13</v>
      </c>
      <c r="M6">
        <v>6</v>
      </c>
      <c r="N6" s="3">
        <f t="shared" si="0"/>
        <v>1415</v>
      </c>
      <c r="O6" s="3" t="e">
        <f>SUM(#REF!)</f>
        <v>#REF!</v>
      </c>
    </row>
    <row r="7" spans="1:15">
      <c r="A7" s="2">
        <v>0.25</v>
      </c>
      <c r="B7" s="3">
        <v>27</v>
      </c>
      <c r="C7" s="3">
        <v>93</v>
      </c>
      <c r="D7" s="3">
        <v>32</v>
      </c>
      <c r="E7">
        <v>167</v>
      </c>
      <c r="F7">
        <v>169</v>
      </c>
      <c r="G7">
        <v>204</v>
      </c>
      <c r="H7">
        <v>246</v>
      </c>
      <c r="I7">
        <v>428</v>
      </c>
      <c r="J7">
        <v>363</v>
      </c>
      <c r="K7">
        <v>121</v>
      </c>
      <c r="L7">
        <v>29</v>
      </c>
      <c r="M7">
        <v>12</v>
      </c>
      <c r="N7" s="3">
        <f t="shared" si="0"/>
        <v>1891</v>
      </c>
      <c r="O7" s="3" t="e">
        <f>SUM(#REF!)</f>
        <v>#REF!</v>
      </c>
    </row>
    <row r="8" spans="1:15">
      <c r="A8" s="2">
        <v>0.1</v>
      </c>
      <c r="B8" s="3">
        <v>27</v>
      </c>
      <c r="C8" s="3">
        <v>93</v>
      </c>
      <c r="D8" s="3">
        <v>32</v>
      </c>
      <c r="E8">
        <v>242</v>
      </c>
      <c r="F8">
        <v>210</v>
      </c>
      <c r="G8">
        <v>253</v>
      </c>
      <c r="H8">
        <v>290</v>
      </c>
      <c r="I8">
        <v>489</v>
      </c>
      <c r="J8">
        <v>466</v>
      </c>
      <c r="K8">
        <v>199</v>
      </c>
      <c r="L8">
        <v>47</v>
      </c>
      <c r="M8">
        <v>17</v>
      </c>
      <c r="N8" s="3">
        <f t="shared" si="0"/>
        <v>2365</v>
      </c>
      <c r="O8" s="3" t="e">
        <f>SUM(#REF!)</f>
        <v>#REF!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285B-2E6D-6C46-B328-6048CB43B0EF}">
  <dimension ref="A1:O9"/>
  <sheetViews>
    <sheetView workbookViewId="0">
      <selection activeCell="N12" sqref="N12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27</v>
      </c>
      <c r="C3" s="3">
        <v>93</v>
      </c>
      <c r="D3" s="3">
        <v>32</v>
      </c>
      <c r="E3" s="3">
        <v>77</v>
      </c>
      <c r="F3">
        <v>72</v>
      </c>
      <c r="G3">
        <v>117</v>
      </c>
      <c r="H3">
        <v>158</v>
      </c>
      <c r="I3">
        <v>235</v>
      </c>
      <c r="J3">
        <v>108</v>
      </c>
      <c r="K3">
        <v>14</v>
      </c>
      <c r="L3">
        <v>5</v>
      </c>
      <c r="M3">
        <v>2</v>
      </c>
      <c r="N3" s="3">
        <f t="shared" ref="N3:N8" si="0">SUM(B3:M3)</f>
        <v>940</v>
      </c>
      <c r="O3" s="3">
        <f>SUM(H3:J3)</f>
        <v>501</v>
      </c>
    </row>
    <row r="4" spans="1:15">
      <c r="A4" s="2">
        <v>0.9</v>
      </c>
      <c r="B4" s="3">
        <v>27</v>
      </c>
      <c r="C4" s="3">
        <v>93</v>
      </c>
      <c r="D4" s="3">
        <v>32</v>
      </c>
      <c r="E4" s="3">
        <v>77</v>
      </c>
      <c r="F4">
        <v>78</v>
      </c>
      <c r="G4">
        <v>133</v>
      </c>
      <c r="H4">
        <v>181</v>
      </c>
      <c r="I4">
        <v>270</v>
      </c>
      <c r="J4">
        <v>123</v>
      </c>
      <c r="K4">
        <v>16</v>
      </c>
      <c r="L4">
        <v>7</v>
      </c>
      <c r="M4">
        <v>3</v>
      </c>
      <c r="N4" s="3">
        <f t="shared" si="0"/>
        <v>1040</v>
      </c>
      <c r="O4" s="3">
        <f t="shared" ref="O4:O8" si="1">SUM(H4:J4)</f>
        <v>574</v>
      </c>
    </row>
    <row r="5" spans="1:15">
      <c r="A5" s="2">
        <v>0.75</v>
      </c>
      <c r="B5" s="3">
        <v>27</v>
      </c>
      <c r="C5" s="3">
        <v>93</v>
      </c>
      <c r="D5" s="3">
        <v>32</v>
      </c>
      <c r="E5" s="3">
        <v>77</v>
      </c>
      <c r="F5">
        <v>87</v>
      </c>
      <c r="G5">
        <v>148</v>
      </c>
      <c r="H5">
        <v>200</v>
      </c>
      <c r="I5">
        <v>300</v>
      </c>
      <c r="J5">
        <v>137</v>
      </c>
      <c r="K5">
        <v>18</v>
      </c>
      <c r="L5">
        <v>7</v>
      </c>
      <c r="M5">
        <v>4</v>
      </c>
      <c r="N5" s="3">
        <f t="shared" si="0"/>
        <v>1130</v>
      </c>
      <c r="O5" s="3">
        <f t="shared" si="1"/>
        <v>637</v>
      </c>
    </row>
    <row r="6" spans="1:15">
      <c r="A6" s="2">
        <v>0.5</v>
      </c>
      <c r="B6" s="3">
        <v>27</v>
      </c>
      <c r="C6" s="3">
        <v>93</v>
      </c>
      <c r="D6" s="3">
        <v>32</v>
      </c>
      <c r="E6" s="3">
        <v>77</v>
      </c>
      <c r="F6">
        <v>95</v>
      </c>
      <c r="G6">
        <v>163</v>
      </c>
      <c r="H6">
        <v>220</v>
      </c>
      <c r="I6">
        <v>330</v>
      </c>
      <c r="J6">
        <v>150</v>
      </c>
      <c r="K6">
        <v>20</v>
      </c>
      <c r="L6">
        <v>8</v>
      </c>
      <c r="M6">
        <v>5</v>
      </c>
      <c r="N6" s="3">
        <f t="shared" si="0"/>
        <v>1220</v>
      </c>
      <c r="O6" s="3">
        <f t="shared" si="1"/>
        <v>700</v>
      </c>
    </row>
    <row r="7" spans="1:15">
      <c r="A7" s="2">
        <v>0.25</v>
      </c>
      <c r="B7" s="3">
        <v>27</v>
      </c>
      <c r="C7" s="3">
        <v>93</v>
      </c>
      <c r="D7" s="3">
        <v>32</v>
      </c>
      <c r="E7" s="3">
        <v>77</v>
      </c>
      <c r="F7">
        <v>112</v>
      </c>
      <c r="G7">
        <v>193</v>
      </c>
      <c r="H7">
        <v>254</v>
      </c>
      <c r="I7">
        <v>380</v>
      </c>
      <c r="J7">
        <v>173</v>
      </c>
      <c r="K7">
        <v>23</v>
      </c>
      <c r="L7">
        <v>10</v>
      </c>
      <c r="M7">
        <v>6</v>
      </c>
      <c r="N7" s="3">
        <f t="shared" si="0"/>
        <v>1380</v>
      </c>
      <c r="O7" s="3">
        <f t="shared" si="1"/>
        <v>807</v>
      </c>
    </row>
    <row r="8" spans="1:15">
      <c r="A8" s="2">
        <v>0.1</v>
      </c>
      <c r="B8" s="3">
        <v>27</v>
      </c>
      <c r="C8" s="3">
        <v>93</v>
      </c>
      <c r="D8" s="3">
        <v>32</v>
      </c>
      <c r="E8" s="3">
        <v>77</v>
      </c>
      <c r="F8">
        <v>125</v>
      </c>
      <c r="G8">
        <v>217</v>
      </c>
      <c r="H8">
        <v>290</v>
      </c>
      <c r="I8">
        <v>430</v>
      </c>
      <c r="J8">
        <v>195</v>
      </c>
      <c r="K8">
        <v>25</v>
      </c>
      <c r="L8">
        <v>12</v>
      </c>
      <c r="M8">
        <v>7</v>
      </c>
      <c r="N8" s="3">
        <f t="shared" si="0"/>
        <v>1530</v>
      </c>
      <c r="O8" s="3">
        <f t="shared" si="1"/>
        <v>915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E325-D8EC-9A49-81C4-321F119D3D26}">
  <dimension ref="A1:O9"/>
  <sheetViews>
    <sheetView workbookViewId="0">
      <selection activeCell="J17" sqref="J17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7">
        <v>0.47</v>
      </c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27</v>
      </c>
      <c r="C3" s="3">
        <v>93</v>
      </c>
      <c r="D3" s="3">
        <v>32</v>
      </c>
      <c r="E3" s="3">
        <v>77</v>
      </c>
      <c r="F3" s="3">
        <v>34</v>
      </c>
      <c r="G3" s="3">
        <v>83</v>
      </c>
      <c r="H3">
        <v>110</v>
      </c>
      <c r="I3">
        <v>145</v>
      </c>
      <c r="J3">
        <v>30</v>
      </c>
      <c r="K3" s="3">
        <v>8</v>
      </c>
      <c r="L3" s="3">
        <v>0</v>
      </c>
      <c r="M3" s="3">
        <v>0</v>
      </c>
      <c r="N3" s="3">
        <f t="shared" ref="N3:N8" si="0">SUM(B3:M3)</f>
        <v>639</v>
      </c>
      <c r="O3" s="3">
        <f>SUM(H3:J3)</f>
        <v>285</v>
      </c>
    </row>
    <row r="4" spans="1:15">
      <c r="A4" s="2">
        <v>0.9</v>
      </c>
      <c r="B4" s="3">
        <v>27</v>
      </c>
      <c r="C4" s="3">
        <v>93</v>
      </c>
      <c r="D4" s="3">
        <v>32</v>
      </c>
      <c r="E4" s="3">
        <v>77</v>
      </c>
      <c r="F4" s="3">
        <v>34</v>
      </c>
      <c r="G4" s="3">
        <v>96</v>
      </c>
      <c r="H4">
        <v>130</v>
      </c>
      <c r="I4">
        <v>170</v>
      </c>
      <c r="J4">
        <v>45</v>
      </c>
      <c r="K4">
        <v>10</v>
      </c>
      <c r="L4">
        <v>0</v>
      </c>
      <c r="M4">
        <v>0</v>
      </c>
      <c r="N4" s="3">
        <f t="shared" si="0"/>
        <v>714</v>
      </c>
      <c r="O4" s="3">
        <f t="shared" ref="O4:O8" si="1">SUM(H4:J4)</f>
        <v>345</v>
      </c>
    </row>
    <row r="5" spans="1:15">
      <c r="A5" s="2">
        <v>0.75</v>
      </c>
      <c r="B5" s="3">
        <v>27</v>
      </c>
      <c r="C5" s="3">
        <v>93</v>
      </c>
      <c r="D5" s="3">
        <v>32</v>
      </c>
      <c r="E5" s="3">
        <v>77</v>
      </c>
      <c r="F5" s="3">
        <v>34</v>
      </c>
      <c r="G5" s="3">
        <v>123</v>
      </c>
      <c r="H5">
        <v>150</v>
      </c>
      <c r="I5">
        <v>195</v>
      </c>
      <c r="J5">
        <v>65</v>
      </c>
      <c r="K5">
        <v>12</v>
      </c>
      <c r="L5">
        <v>1</v>
      </c>
      <c r="M5">
        <v>0</v>
      </c>
      <c r="N5" s="3">
        <f t="shared" si="0"/>
        <v>809</v>
      </c>
      <c r="O5" s="3">
        <f t="shared" si="1"/>
        <v>410</v>
      </c>
    </row>
    <row r="6" spans="1:15">
      <c r="A6" s="2">
        <v>0.5</v>
      </c>
      <c r="B6" s="3">
        <v>27</v>
      </c>
      <c r="C6" s="3">
        <v>93</v>
      </c>
      <c r="D6" s="3">
        <v>32</v>
      </c>
      <c r="E6" s="3">
        <v>77</v>
      </c>
      <c r="F6" s="3">
        <v>34</v>
      </c>
      <c r="G6" s="3">
        <v>142</v>
      </c>
      <c r="H6">
        <v>165</v>
      </c>
      <c r="I6">
        <v>220</v>
      </c>
      <c r="J6">
        <v>90</v>
      </c>
      <c r="K6">
        <v>15</v>
      </c>
      <c r="L6">
        <v>3</v>
      </c>
      <c r="M6">
        <v>1</v>
      </c>
      <c r="N6" s="3">
        <f t="shared" si="0"/>
        <v>899</v>
      </c>
      <c r="O6" s="3">
        <f t="shared" si="1"/>
        <v>475</v>
      </c>
    </row>
    <row r="7" spans="1:15">
      <c r="A7" s="2">
        <v>0.25</v>
      </c>
      <c r="B7" s="3">
        <v>27</v>
      </c>
      <c r="C7" s="3">
        <v>93</v>
      </c>
      <c r="D7" s="3">
        <v>32</v>
      </c>
      <c r="E7" s="3">
        <v>77</v>
      </c>
      <c r="F7" s="3">
        <v>34</v>
      </c>
      <c r="G7" s="3">
        <v>159</v>
      </c>
      <c r="H7">
        <v>180</v>
      </c>
      <c r="I7">
        <v>257</v>
      </c>
      <c r="J7">
        <v>115</v>
      </c>
      <c r="K7">
        <v>18</v>
      </c>
      <c r="L7">
        <v>5</v>
      </c>
      <c r="M7">
        <v>2</v>
      </c>
      <c r="N7" s="3">
        <f t="shared" si="0"/>
        <v>999</v>
      </c>
      <c r="O7" s="3">
        <f t="shared" si="1"/>
        <v>552</v>
      </c>
    </row>
    <row r="8" spans="1:15">
      <c r="A8" s="2">
        <v>0.1</v>
      </c>
      <c r="B8" s="3">
        <v>27</v>
      </c>
      <c r="C8" s="3">
        <v>93</v>
      </c>
      <c r="D8" s="3">
        <v>32</v>
      </c>
      <c r="E8" s="3">
        <v>77</v>
      </c>
      <c r="F8" s="3">
        <v>34</v>
      </c>
      <c r="G8" s="3">
        <v>176</v>
      </c>
      <c r="H8">
        <v>200</v>
      </c>
      <c r="I8">
        <v>288</v>
      </c>
      <c r="J8">
        <v>135</v>
      </c>
      <c r="K8">
        <v>22</v>
      </c>
      <c r="L8">
        <v>7</v>
      </c>
      <c r="M8">
        <v>3</v>
      </c>
      <c r="N8" s="3">
        <f t="shared" si="0"/>
        <v>1094</v>
      </c>
      <c r="O8" s="3">
        <f t="shared" si="1"/>
        <v>623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7905-2882-D84F-9A3A-DB1681088351}">
  <dimension ref="A1:O9"/>
  <sheetViews>
    <sheetView workbookViewId="0">
      <selection activeCell="H12" sqref="H12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7">
        <v>0.83</v>
      </c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27</v>
      </c>
      <c r="C3" s="3">
        <v>93</v>
      </c>
      <c r="D3" s="3">
        <v>32</v>
      </c>
      <c r="E3" s="3">
        <v>77</v>
      </c>
      <c r="F3" s="3">
        <v>34</v>
      </c>
      <c r="G3" s="3">
        <v>357</v>
      </c>
      <c r="H3">
        <v>190</v>
      </c>
      <c r="I3">
        <v>268</v>
      </c>
      <c r="J3">
        <v>195</v>
      </c>
      <c r="K3">
        <v>35</v>
      </c>
      <c r="L3">
        <v>8</v>
      </c>
      <c r="M3">
        <v>3</v>
      </c>
      <c r="N3" s="3">
        <f t="shared" ref="N3:N8" si="0">SUM(B3:M3)</f>
        <v>1319</v>
      </c>
      <c r="O3" s="3">
        <f t="shared" ref="O3:O8" si="1">SUM(H3:J3)</f>
        <v>653</v>
      </c>
    </row>
    <row r="4" spans="1:15">
      <c r="A4" s="2">
        <v>0.9</v>
      </c>
      <c r="B4" s="3">
        <v>27</v>
      </c>
      <c r="C4" s="3">
        <v>93</v>
      </c>
      <c r="D4" s="3">
        <v>32</v>
      </c>
      <c r="E4" s="3">
        <v>77</v>
      </c>
      <c r="F4" s="3">
        <v>34</v>
      </c>
      <c r="G4" s="3">
        <v>357</v>
      </c>
      <c r="H4">
        <v>210</v>
      </c>
      <c r="I4">
        <v>305</v>
      </c>
      <c r="J4">
        <v>215</v>
      </c>
      <c r="K4">
        <v>40</v>
      </c>
      <c r="L4">
        <v>10</v>
      </c>
      <c r="M4">
        <v>4</v>
      </c>
      <c r="N4" s="3">
        <f t="shared" si="0"/>
        <v>1404</v>
      </c>
      <c r="O4" s="3">
        <f t="shared" si="1"/>
        <v>730</v>
      </c>
    </row>
    <row r="5" spans="1:15">
      <c r="A5" s="2">
        <v>0.75</v>
      </c>
      <c r="B5" s="3">
        <v>27</v>
      </c>
      <c r="C5" s="3">
        <v>93</v>
      </c>
      <c r="D5" s="3">
        <v>32</v>
      </c>
      <c r="E5" s="3">
        <v>77</v>
      </c>
      <c r="F5" s="3">
        <v>34</v>
      </c>
      <c r="G5" s="3">
        <v>357</v>
      </c>
      <c r="H5">
        <v>233</v>
      </c>
      <c r="I5">
        <v>340</v>
      </c>
      <c r="J5">
        <v>240</v>
      </c>
      <c r="K5">
        <v>45</v>
      </c>
      <c r="L5">
        <v>11</v>
      </c>
      <c r="M5">
        <v>5</v>
      </c>
      <c r="N5" s="3">
        <f t="shared" si="0"/>
        <v>1494</v>
      </c>
      <c r="O5" s="3">
        <f t="shared" si="1"/>
        <v>813</v>
      </c>
    </row>
    <row r="6" spans="1:15">
      <c r="A6" s="2">
        <v>0.5</v>
      </c>
      <c r="B6" s="3">
        <v>27</v>
      </c>
      <c r="C6" s="3">
        <v>93</v>
      </c>
      <c r="D6" s="3">
        <v>32</v>
      </c>
      <c r="E6" s="3">
        <v>77</v>
      </c>
      <c r="F6" s="3">
        <v>34</v>
      </c>
      <c r="G6" s="3">
        <v>357</v>
      </c>
      <c r="H6">
        <v>250</v>
      </c>
      <c r="I6">
        <v>375</v>
      </c>
      <c r="J6">
        <v>265</v>
      </c>
      <c r="K6">
        <v>50</v>
      </c>
      <c r="L6">
        <v>13</v>
      </c>
      <c r="M6">
        <v>6</v>
      </c>
      <c r="N6" s="3">
        <f t="shared" si="0"/>
        <v>1579</v>
      </c>
      <c r="O6" s="3">
        <f t="shared" si="1"/>
        <v>890</v>
      </c>
    </row>
    <row r="7" spans="1:15">
      <c r="A7" s="2">
        <v>0.25</v>
      </c>
      <c r="B7" s="3">
        <v>27</v>
      </c>
      <c r="C7" s="3">
        <v>93</v>
      </c>
      <c r="D7" s="3">
        <v>32</v>
      </c>
      <c r="E7" s="3">
        <v>77</v>
      </c>
      <c r="F7" s="3">
        <v>34</v>
      </c>
      <c r="G7" s="3">
        <v>357</v>
      </c>
      <c r="H7">
        <v>275</v>
      </c>
      <c r="I7">
        <v>410</v>
      </c>
      <c r="J7">
        <v>290</v>
      </c>
      <c r="K7">
        <v>55</v>
      </c>
      <c r="L7">
        <v>17</v>
      </c>
      <c r="M7">
        <v>7</v>
      </c>
      <c r="N7" s="3">
        <f t="shared" si="0"/>
        <v>1674</v>
      </c>
      <c r="O7" s="3">
        <f t="shared" si="1"/>
        <v>975</v>
      </c>
    </row>
    <row r="8" spans="1:15">
      <c r="A8" s="2">
        <v>0.1</v>
      </c>
      <c r="B8" s="3">
        <v>27</v>
      </c>
      <c r="C8" s="3">
        <v>93</v>
      </c>
      <c r="D8" s="3">
        <v>32</v>
      </c>
      <c r="E8" s="3">
        <v>77</v>
      </c>
      <c r="F8" s="3">
        <v>34</v>
      </c>
      <c r="G8" s="3">
        <v>357</v>
      </c>
      <c r="H8">
        <v>300</v>
      </c>
      <c r="I8">
        <v>445</v>
      </c>
      <c r="J8">
        <v>315</v>
      </c>
      <c r="K8">
        <v>60</v>
      </c>
      <c r="L8">
        <v>20</v>
      </c>
      <c r="M8">
        <v>9</v>
      </c>
      <c r="N8" s="3">
        <f t="shared" si="0"/>
        <v>1769</v>
      </c>
      <c r="O8" s="3">
        <f t="shared" si="1"/>
        <v>1060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9190-9D14-834C-A3AF-45107092E374}">
  <dimension ref="A1:O11"/>
  <sheetViews>
    <sheetView tabSelected="1" workbookViewId="0">
      <selection activeCell="D12" sqref="D12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7">
        <v>0.83</v>
      </c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27</v>
      </c>
      <c r="C3" s="3">
        <v>93</v>
      </c>
      <c r="D3" s="3">
        <v>32</v>
      </c>
      <c r="E3" s="3">
        <v>77</v>
      </c>
      <c r="F3" s="3">
        <v>34</v>
      </c>
      <c r="G3" s="3">
        <v>357</v>
      </c>
      <c r="H3" s="8">
        <v>280.39</v>
      </c>
      <c r="I3">
        <v>268</v>
      </c>
      <c r="J3">
        <v>195</v>
      </c>
      <c r="K3">
        <v>35</v>
      </c>
      <c r="L3">
        <v>8</v>
      </c>
      <c r="M3">
        <v>3</v>
      </c>
      <c r="N3" s="3">
        <f t="shared" ref="N3:N8" si="0">SUM(B3:M3)</f>
        <v>1409.3899999999999</v>
      </c>
      <c r="O3" s="3">
        <f t="shared" ref="O3:O8" si="1">SUM(H3:J3)</f>
        <v>743.39</v>
      </c>
    </row>
    <row r="4" spans="1:15">
      <c r="A4" s="2">
        <v>0.9</v>
      </c>
      <c r="B4" s="3">
        <v>27</v>
      </c>
      <c r="C4" s="3">
        <v>93</v>
      </c>
      <c r="D4" s="3">
        <v>32</v>
      </c>
      <c r="E4" s="3">
        <v>77</v>
      </c>
      <c r="F4" s="3">
        <v>34</v>
      </c>
      <c r="G4" s="3">
        <v>357</v>
      </c>
      <c r="H4" s="8">
        <v>280.39</v>
      </c>
      <c r="I4">
        <v>305</v>
      </c>
      <c r="J4">
        <v>215</v>
      </c>
      <c r="K4">
        <v>40</v>
      </c>
      <c r="L4">
        <v>10</v>
      </c>
      <c r="M4">
        <v>4</v>
      </c>
      <c r="N4" s="3">
        <f t="shared" si="0"/>
        <v>1474.3899999999999</v>
      </c>
      <c r="O4" s="3">
        <f t="shared" si="1"/>
        <v>800.39</v>
      </c>
    </row>
    <row r="5" spans="1:15">
      <c r="A5" s="2">
        <v>0.75</v>
      </c>
      <c r="B5" s="3">
        <v>27</v>
      </c>
      <c r="C5" s="3">
        <v>93</v>
      </c>
      <c r="D5" s="3">
        <v>32</v>
      </c>
      <c r="E5" s="3">
        <v>77</v>
      </c>
      <c r="F5" s="3">
        <v>34</v>
      </c>
      <c r="G5" s="3">
        <v>357</v>
      </c>
      <c r="H5" s="8">
        <v>280.39</v>
      </c>
      <c r="I5">
        <v>340</v>
      </c>
      <c r="J5">
        <v>240</v>
      </c>
      <c r="K5">
        <v>45</v>
      </c>
      <c r="L5">
        <v>11</v>
      </c>
      <c r="M5">
        <v>5</v>
      </c>
      <c r="N5" s="3">
        <f t="shared" si="0"/>
        <v>1541.3899999999999</v>
      </c>
      <c r="O5" s="3">
        <f t="shared" si="1"/>
        <v>860.39</v>
      </c>
    </row>
    <row r="6" spans="1:15">
      <c r="A6" s="2">
        <v>0.5</v>
      </c>
      <c r="B6" s="3">
        <v>27</v>
      </c>
      <c r="C6" s="3">
        <v>93</v>
      </c>
      <c r="D6" s="3">
        <v>32</v>
      </c>
      <c r="E6" s="3">
        <v>77</v>
      </c>
      <c r="F6" s="3">
        <v>34</v>
      </c>
      <c r="G6" s="3">
        <v>357</v>
      </c>
      <c r="H6" s="8">
        <v>280.39</v>
      </c>
      <c r="I6">
        <v>375</v>
      </c>
      <c r="J6">
        <v>265</v>
      </c>
      <c r="K6">
        <v>50</v>
      </c>
      <c r="L6">
        <v>13</v>
      </c>
      <c r="M6">
        <v>6</v>
      </c>
      <c r="N6" s="3">
        <f t="shared" si="0"/>
        <v>1609.3899999999999</v>
      </c>
      <c r="O6" s="3">
        <f t="shared" si="1"/>
        <v>920.39</v>
      </c>
    </row>
    <row r="7" spans="1:15">
      <c r="A7" s="2">
        <v>0.25</v>
      </c>
      <c r="B7" s="3">
        <v>27</v>
      </c>
      <c r="C7" s="3">
        <v>93</v>
      </c>
      <c r="D7" s="3">
        <v>32</v>
      </c>
      <c r="E7" s="3">
        <v>77</v>
      </c>
      <c r="F7" s="3">
        <v>34</v>
      </c>
      <c r="G7" s="3">
        <v>357</v>
      </c>
      <c r="H7" s="8">
        <v>280.39</v>
      </c>
      <c r="I7">
        <v>410</v>
      </c>
      <c r="J7">
        <v>290</v>
      </c>
      <c r="K7">
        <v>55</v>
      </c>
      <c r="L7">
        <v>17</v>
      </c>
      <c r="M7">
        <v>7</v>
      </c>
      <c r="N7" s="3">
        <f t="shared" si="0"/>
        <v>1679.3899999999999</v>
      </c>
      <c r="O7" s="3">
        <f t="shared" si="1"/>
        <v>980.39</v>
      </c>
    </row>
    <row r="8" spans="1:15">
      <c r="A8" s="2">
        <v>0.1</v>
      </c>
      <c r="B8" s="3">
        <v>27</v>
      </c>
      <c r="C8" s="3">
        <v>93</v>
      </c>
      <c r="D8" s="3">
        <v>32</v>
      </c>
      <c r="E8" s="3">
        <v>77</v>
      </c>
      <c r="F8" s="3">
        <v>34</v>
      </c>
      <c r="G8" s="3">
        <v>357</v>
      </c>
      <c r="H8" s="8">
        <v>280.39</v>
      </c>
      <c r="I8">
        <v>445</v>
      </c>
      <c r="J8">
        <v>315</v>
      </c>
      <c r="K8">
        <v>60</v>
      </c>
      <c r="L8">
        <v>20</v>
      </c>
      <c r="M8">
        <v>9</v>
      </c>
      <c r="N8" s="3">
        <f t="shared" si="0"/>
        <v>1749.3899999999999</v>
      </c>
      <c r="O8" s="3">
        <f t="shared" si="1"/>
        <v>1040.3899999999999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  <row r="11" spans="1:15">
      <c r="F11" s="8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FBEA-F751-BF4F-B46D-2390ADE2B7B0}">
  <dimension ref="A1:O9"/>
  <sheetViews>
    <sheetView workbookViewId="0">
      <selection activeCell="A9" sqref="A1:XFD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f>SUM(B3:M3)</f>
        <v>0</v>
      </c>
      <c r="O3" s="3">
        <f>SUM(H3:J3)</f>
        <v>0</v>
      </c>
    </row>
    <row r="4" spans="1:15">
      <c r="A4" s="2">
        <v>0.9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f t="shared" ref="N4:N8" si="0">SUM(B4:M4)</f>
        <v>0</v>
      </c>
      <c r="O4" s="3">
        <f t="shared" ref="O4:O8" si="1">SUM(H4:J4)</f>
        <v>0</v>
      </c>
    </row>
    <row r="5" spans="1:15">
      <c r="A5" s="2">
        <v>0.75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0"/>
        <v>0</v>
      </c>
      <c r="O5" s="3">
        <f t="shared" si="1"/>
        <v>0</v>
      </c>
    </row>
    <row r="6" spans="1:15">
      <c r="A6" s="2">
        <v>0.5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f t="shared" si="0"/>
        <v>0</v>
      </c>
      <c r="O6" s="3">
        <f t="shared" si="1"/>
        <v>0</v>
      </c>
    </row>
    <row r="7" spans="1:15">
      <c r="A7" s="2">
        <v>0.25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f t="shared" si="0"/>
        <v>0</v>
      </c>
      <c r="O7" s="3">
        <f t="shared" si="1"/>
        <v>0</v>
      </c>
    </row>
    <row r="8" spans="1:15">
      <c r="A8" s="2">
        <v>0.1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  <c r="O8" s="3">
        <f t="shared" si="1"/>
        <v>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Lindsay Murdoch</cp:lastModifiedBy>
  <dcterms:created xsi:type="dcterms:W3CDTF">2021-12-13T19:52:24Z</dcterms:created>
  <dcterms:modified xsi:type="dcterms:W3CDTF">2024-03-07T18:30:11Z</dcterms:modified>
</cp:coreProperties>
</file>