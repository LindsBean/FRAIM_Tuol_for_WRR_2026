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rality/Desktop/SJWSI_Forcasts/"/>
    </mc:Choice>
  </mc:AlternateContent>
  <xr:revisionPtr revIDLastSave="0" documentId="13_ncr:1_{913281AC-C39C-5945-BAA0-BA84D18D64C0}" xr6:coauthVersionLast="47" xr6:coauthVersionMax="47" xr10:uidLastSave="{00000000-0000-0000-0000-000000000000}"/>
  <bookViews>
    <workbookView xWindow="360" yWindow="500" windowWidth="25640" windowHeight="11220" activeTab="3" xr2:uid="{3578BA0C-0428-784E-9DCD-2FF2D0CA4835}"/>
  </bookViews>
  <sheets>
    <sheet name="Dec1" sheetId="1" r:id="rId1"/>
    <sheet name="Jan1" sheetId="2" r:id="rId2"/>
    <sheet name="Feb1" sheetId="3" r:id="rId3"/>
    <sheet name="Mar1" sheetId="4" r:id="rId4"/>
    <sheet name="Apr1" sheetId="5" r:id="rId5"/>
    <sheet name="May1" sheetId="7" r:id="rId6"/>
    <sheet name="templat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7" l="1"/>
  <c r="O5" i="7"/>
  <c r="O6" i="7"/>
  <c r="O7" i="7"/>
  <c r="O8" i="7"/>
  <c r="N8" i="7"/>
  <c r="N7" i="7"/>
  <c r="N6" i="7"/>
  <c r="N5" i="7"/>
  <c r="N4" i="7"/>
  <c r="O3" i="7"/>
  <c r="N3" i="7"/>
  <c r="O4" i="5"/>
  <c r="O5" i="5"/>
  <c r="O6" i="5"/>
  <c r="O7" i="5"/>
  <c r="O8" i="5"/>
  <c r="O3" i="5"/>
  <c r="O4" i="4"/>
  <c r="O5" i="4"/>
  <c r="O6" i="4"/>
  <c r="O7" i="4"/>
  <c r="O8" i="4"/>
  <c r="O3" i="4"/>
  <c r="O4" i="3"/>
  <c r="O5" i="3"/>
  <c r="O6" i="3"/>
  <c r="O7" i="3"/>
  <c r="O8" i="3"/>
  <c r="O3" i="3"/>
  <c r="O4" i="2"/>
  <c r="O5" i="2"/>
  <c r="O6" i="2"/>
  <c r="O7" i="2"/>
  <c r="O8" i="2"/>
  <c r="O3" i="2"/>
  <c r="O3" i="1"/>
  <c r="O4" i="1"/>
  <c r="O5" i="1"/>
  <c r="O6" i="1"/>
  <c r="O7" i="1"/>
  <c r="O8" i="1"/>
  <c r="O8" i="6"/>
  <c r="N8" i="6"/>
  <c r="O7" i="6"/>
  <c r="N7" i="6"/>
  <c r="O6" i="6"/>
  <c r="N6" i="6"/>
  <c r="O5" i="6"/>
  <c r="N5" i="6"/>
  <c r="O4" i="6"/>
  <c r="N4" i="6"/>
  <c r="O3" i="6"/>
  <c r="N3" i="6"/>
  <c r="N8" i="5"/>
  <c r="N7" i="5"/>
  <c r="N6" i="5"/>
  <c r="N5" i="5"/>
  <c r="N4" i="5"/>
  <c r="N3" i="5"/>
  <c r="N8" i="4"/>
  <c r="N7" i="4"/>
  <c r="N6" i="4"/>
  <c r="N5" i="4"/>
  <c r="N4" i="4"/>
  <c r="N3" i="4"/>
  <c r="N8" i="3"/>
  <c r="N7" i="3"/>
  <c r="N6" i="3"/>
  <c r="N5" i="3"/>
  <c r="N4" i="3"/>
  <c r="N3" i="3"/>
  <c r="N8" i="2"/>
  <c r="N7" i="2"/>
  <c r="N6" i="2"/>
  <c r="N5" i="2"/>
  <c r="N4" i="2"/>
  <c r="N3" i="2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<sst xmlns="http://schemas.openxmlformats.org/spreadsheetml/2006/main" count="119" uniqueCount="17">
  <si>
    <t xml:space="preserve">Tuolumne River below La Grange Reservoir Unimpaired Flow [taf] </t>
  </si>
  <si>
    <t>WY %Avg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</si>
  <si>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</si>
  <si>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</si>
  <si>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</si>
  <si>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</si>
  <si>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</si>
  <si>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</si>
  <si>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</si>
  <si>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</si>
  <si>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</si>
  <si>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</si>
  <si>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</si>
  <si>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</si>
  <si>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WY</t>
  </si>
  <si>
    <t>Apr-Jun</t>
  </si>
  <si>
    <t xml:space="preserve">1966-2015 avg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</si>
</sst>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9"/>
      <color rgb="FF000000"/>
      <name val="ArialMT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9" fontId="3" fillId="0" borderId="0" xfId="0" applyNumberFormat="1" applyFont="1"/>
    <xf numFmtId="0" fontId="5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3594-243D-FD4D-959F-C5F2484E376F}">
  <dimension ref="A1:O9"/>
  <sheetViews>
    <sheetView workbookViewId="0">
      <selection activeCell="L3" sqref="L3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39</v>
      </c>
      <c r="C3" s="3">
        <v>17</v>
      </c>
      <c r="D3" s="3">
        <v>16</v>
      </c>
      <c r="E3">
        <v>20</v>
      </c>
      <c r="F3">
        <v>36</v>
      </c>
      <c r="G3">
        <v>57</v>
      </c>
      <c r="H3">
        <v>102</v>
      </c>
      <c r="I3">
        <v>130</v>
      </c>
      <c r="J3">
        <v>60</v>
      </c>
      <c r="K3" s="3">
        <v>14</v>
      </c>
      <c r="L3" s="3">
        <v>6</v>
      </c>
      <c r="M3" s="3">
        <v>4</v>
      </c>
      <c r="N3" s="3">
        <f>SUM(B3:M3)</f>
        <v>501</v>
      </c>
      <c r="O3" s="3">
        <f>SUM(H3:J3)</f>
        <v>292</v>
      </c>
    </row>
    <row r="4" spans="1:15">
      <c r="A4" s="2">
        <v>0.9</v>
      </c>
      <c r="B4" s="3">
        <v>39</v>
      </c>
      <c r="C4" s="3">
        <v>17</v>
      </c>
      <c r="D4" s="3">
        <v>26</v>
      </c>
      <c r="E4">
        <v>38</v>
      </c>
      <c r="F4">
        <v>67</v>
      </c>
      <c r="G4">
        <v>105</v>
      </c>
      <c r="H4">
        <v>160</v>
      </c>
      <c r="I4">
        <v>227</v>
      </c>
      <c r="J4">
        <v>120</v>
      </c>
      <c r="K4" s="3">
        <v>25</v>
      </c>
      <c r="L4" s="3">
        <v>9</v>
      </c>
      <c r="M4" s="3">
        <v>8</v>
      </c>
      <c r="N4" s="3">
        <f t="shared" ref="N4:N8" si="0">SUM(B4:M4)</f>
        <v>841</v>
      </c>
      <c r="O4" s="3">
        <f t="shared" ref="O4:O8" si="1">SUM(H4:J4)</f>
        <v>507</v>
      </c>
    </row>
    <row r="5" spans="1:15">
      <c r="A5" s="2">
        <v>0.75</v>
      </c>
      <c r="B5" s="3">
        <v>39</v>
      </c>
      <c r="C5" s="3">
        <v>17</v>
      </c>
      <c r="D5" s="3">
        <v>36</v>
      </c>
      <c r="E5">
        <v>54</v>
      </c>
      <c r="F5">
        <v>87</v>
      </c>
      <c r="G5">
        <v>131</v>
      </c>
      <c r="H5">
        <v>193</v>
      </c>
      <c r="I5">
        <v>280</v>
      </c>
      <c r="J5">
        <v>174</v>
      </c>
      <c r="K5" s="3">
        <v>36</v>
      </c>
      <c r="L5" s="3">
        <v>13</v>
      </c>
      <c r="M5" s="3">
        <v>11</v>
      </c>
      <c r="N5" s="3">
        <f t="shared" si="0"/>
        <v>1071</v>
      </c>
      <c r="O5" s="3">
        <f t="shared" si="1"/>
        <v>647</v>
      </c>
    </row>
    <row r="6" spans="1:15">
      <c r="A6" s="2">
        <v>0.5</v>
      </c>
      <c r="B6" s="3">
        <v>39</v>
      </c>
      <c r="C6" s="3">
        <v>17</v>
      </c>
      <c r="D6" s="3">
        <v>81</v>
      </c>
      <c r="E6">
        <v>119</v>
      </c>
      <c r="F6">
        <v>137</v>
      </c>
      <c r="G6">
        <v>169</v>
      </c>
      <c r="H6">
        <v>225</v>
      </c>
      <c r="I6">
        <v>378</v>
      </c>
      <c r="J6">
        <v>294</v>
      </c>
      <c r="K6" s="3">
        <v>86</v>
      </c>
      <c r="L6" s="3">
        <v>27</v>
      </c>
      <c r="M6" s="3">
        <v>18</v>
      </c>
      <c r="N6" s="3">
        <f t="shared" si="0"/>
        <v>1590</v>
      </c>
      <c r="O6" s="3">
        <f t="shared" si="1"/>
        <v>897</v>
      </c>
    </row>
    <row r="7" spans="1:15">
      <c r="A7" s="2">
        <v>0.25</v>
      </c>
      <c r="B7" s="3">
        <v>39</v>
      </c>
      <c r="C7" s="3">
        <v>17</v>
      </c>
      <c r="D7" s="3">
        <v>125</v>
      </c>
      <c r="E7">
        <v>208</v>
      </c>
      <c r="F7">
        <v>192</v>
      </c>
      <c r="G7">
        <v>227</v>
      </c>
      <c r="H7">
        <v>263</v>
      </c>
      <c r="I7">
        <v>448</v>
      </c>
      <c r="J7">
        <v>412</v>
      </c>
      <c r="K7" s="3">
        <v>153</v>
      </c>
      <c r="L7" s="3">
        <v>41</v>
      </c>
      <c r="M7" s="3">
        <v>25</v>
      </c>
      <c r="N7" s="3">
        <f t="shared" si="0"/>
        <v>2150</v>
      </c>
      <c r="O7" s="3">
        <f t="shared" si="1"/>
        <v>1123</v>
      </c>
    </row>
    <row r="8" spans="1:15">
      <c r="A8" s="2">
        <v>0.1</v>
      </c>
      <c r="B8" s="3">
        <v>39</v>
      </c>
      <c r="C8" s="3">
        <v>17</v>
      </c>
      <c r="D8" s="3">
        <v>162</v>
      </c>
      <c r="E8">
        <v>300</v>
      </c>
      <c r="F8">
        <v>250</v>
      </c>
      <c r="G8">
        <v>288</v>
      </c>
      <c r="H8">
        <v>323</v>
      </c>
      <c r="I8">
        <v>532</v>
      </c>
      <c r="J8">
        <v>520</v>
      </c>
      <c r="K8" s="3">
        <v>296</v>
      </c>
      <c r="L8" s="3">
        <v>60</v>
      </c>
      <c r="M8" s="3">
        <v>33</v>
      </c>
      <c r="N8" s="3">
        <f t="shared" si="0"/>
        <v>2820</v>
      </c>
      <c r="O8" s="3">
        <f t="shared" si="1"/>
        <v>1375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6">
        <v>1909</v>
      </c>
      <c r="O9" s="2">
        <v>1193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D2C1-E28E-B040-AA05-2812CA44AD7B}">
  <dimension ref="A1:O9"/>
  <sheetViews>
    <sheetView zoomScale="120" zoomScaleNormal="120" workbookViewId="0">
      <selection activeCell="G14" sqref="G14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7">
        <v>0.61</v>
      </c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39</v>
      </c>
      <c r="C3" s="3">
        <v>17</v>
      </c>
      <c r="D3" s="3">
        <v>3</v>
      </c>
      <c r="E3">
        <v>14</v>
      </c>
      <c r="F3">
        <v>24</v>
      </c>
      <c r="G3">
        <v>40</v>
      </c>
      <c r="H3">
        <v>90</v>
      </c>
      <c r="I3">
        <v>120</v>
      </c>
      <c r="J3">
        <v>42</v>
      </c>
      <c r="K3" s="3">
        <v>9</v>
      </c>
      <c r="L3" s="3">
        <v>2</v>
      </c>
      <c r="M3" s="3">
        <v>1</v>
      </c>
      <c r="N3" s="3">
        <f>SUM(B3:M3)</f>
        <v>401</v>
      </c>
      <c r="O3" s="3">
        <f>SUM(H3:J3)</f>
        <v>252</v>
      </c>
    </row>
    <row r="4" spans="1:15">
      <c r="A4" s="2">
        <v>0.9</v>
      </c>
      <c r="B4" s="3">
        <v>39</v>
      </c>
      <c r="C4" s="3">
        <v>17</v>
      </c>
      <c r="D4" s="3">
        <v>3</v>
      </c>
      <c r="E4">
        <v>27</v>
      </c>
      <c r="F4">
        <v>48</v>
      </c>
      <c r="G4">
        <v>75</v>
      </c>
      <c r="H4">
        <v>133</v>
      </c>
      <c r="I4">
        <v>169</v>
      </c>
      <c r="J4">
        <v>79</v>
      </c>
      <c r="K4" s="3">
        <v>18</v>
      </c>
      <c r="L4" s="3">
        <v>7</v>
      </c>
      <c r="M4" s="3">
        <v>6</v>
      </c>
      <c r="N4" s="3">
        <f t="shared" ref="N4:N8" si="0">SUM(B4:M4)</f>
        <v>621</v>
      </c>
      <c r="O4" s="3">
        <f t="shared" ref="O4:O8" si="1">SUM(H4:J4)</f>
        <v>381</v>
      </c>
    </row>
    <row r="5" spans="1:15">
      <c r="A5" s="2">
        <v>0.75</v>
      </c>
      <c r="B5" s="3">
        <v>39</v>
      </c>
      <c r="C5" s="3">
        <v>17</v>
      </c>
      <c r="D5" s="3">
        <v>3</v>
      </c>
      <c r="E5">
        <v>36</v>
      </c>
      <c r="F5">
        <v>64</v>
      </c>
      <c r="G5">
        <v>100</v>
      </c>
      <c r="H5">
        <v>160</v>
      </c>
      <c r="I5">
        <v>217</v>
      </c>
      <c r="J5">
        <v>110</v>
      </c>
      <c r="K5" s="3">
        <v>28</v>
      </c>
      <c r="L5" s="3">
        <v>9</v>
      </c>
      <c r="M5" s="3">
        <v>7</v>
      </c>
      <c r="N5" s="3">
        <f t="shared" si="0"/>
        <v>790</v>
      </c>
      <c r="O5" s="3">
        <f t="shared" si="1"/>
        <v>487</v>
      </c>
    </row>
    <row r="6" spans="1:15">
      <c r="A6" s="2">
        <v>0.5</v>
      </c>
      <c r="B6" s="3">
        <v>39</v>
      </c>
      <c r="C6" s="3">
        <v>17</v>
      </c>
      <c r="D6" s="3">
        <v>3</v>
      </c>
      <c r="E6">
        <v>70</v>
      </c>
      <c r="F6">
        <v>102</v>
      </c>
      <c r="G6">
        <v>143</v>
      </c>
      <c r="H6">
        <v>202</v>
      </c>
      <c r="I6">
        <v>317</v>
      </c>
      <c r="J6">
        <v>210</v>
      </c>
      <c r="K6" s="3">
        <v>48</v>
      </c>
      <c r="L6" s="3">
        <v>17</v>
      </c>
      <c r="M6" s="3">
        <v>13</v>
      </c>
      <c r="N6" s="3">
        <f t="shared" si="0"/>
        <v>1181</v>
      </c>
      <c r="O6" s="3">
        <f t="shared" si="1"/>
        <v>729</v>
      </c>
    </row>
    <row r="7" spans="1:15">
      <c r="A7" s="2">
        <v>0.25</v>
      </c>
      <c r="B7" s="3">
        <v>39</v>
      </c>
      <c r="C7" s="3">
        <v>17</v>
      </c>
      <c r="D7" s="3">
        <v>3</v>
      </c>
      <c r="E7">
        <v>128</v>
      </c>
      <c r="F7">
        <v>146</v>
      </c>
      <c r="G7">
        <v>179</v>
      </c>
      <c r="H7">
        <v>245</v>
      </c>
      <c r="I7">
        <v>400</v>
      </c>
      <c r="J7">
        <v>313</v>
      </c>
      <c r="K7" s="3">
        <v>92</v>
      </c>
      <c r="L7" s="3">
        <v>29</v>
      </c>
      <c r="M7" s="3">
        <v>19</v>
      </c>
      <c r="N7" s="3">
        <f t="shared" si="0"/>
        <v>1610</v>
      </c>
      <c r="O7" s="3">
        <f t="shared" si="1"/>
        <v>958</v>
      </c>
    </row>
    <row r="8" spans="1:15">
      <c r="A8" s="2">
        <v>0.1</v>
      </c>
      <c r="B8" s="3">
        <v>39</v>
      </c>
      <c r="C8" s="3">
        <v>17</v>
      </c>
      <c r="D8" s="3">
        <v>3</v>
      </c>
      <c r="E8">
        <v>224</v>
      </c>
      <c r="F8">
        <v>206</v>
      </c>
      <c r="G8">
        <v>243</v>
      </c>
      <c r="H8">
        <v>282</v>
      </c>
      <c r="I8">
        <v>480</v>
      </c>
      <c r="J8">
        <v>443</v>
      </c>
      <c r="K8" s="3">
        <v>167</v>
      </c>
      <c r="L8" s="3">
        <v>44</v>
      </c>
      <c r="M8" s="3">
        <v>24</v>
      </c>
      <c r="N8" s="3">
        <f t="shared" si="0"/>
        <v>2172</v>
      </c>
      <c r="O8" s="3">
        <f t="shared" si="1"/>
        <v>1205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6">
        <v>1909</v>
      </c>
      <c r="O9" s="2">
        <v>1193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85276-B178-A840-9C79-E301C6AF7803}">
  <dimension ref="A1:O17"/>
  <sheetViews>
    <sheetView zoomScale="120" zoomScaleNormal="120" workbookViewId="0">
      <selection activeCell="B3" sqref="B3:E8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39</v>
      </c>
      <c r="C3" s="3">
        <v>17</v>
      </c>
      <c r="D3" s="3">
        <v>3</v>
      </c>
      <c r="E3" s="3">
        <v>47</v>
      </c>
      <c r="F3">
        <v>31</v>
      </c>
      <c r="G3">
        <v>49</v>
      </c>
      <c r="H3" s="8">
        <v>88</v>
      </c>
      <c r="I3">
        <v>128</v>
      </c>
      <c r="J3">
        <v>52</v>
      </c>
      <c r="K3" s="3">
        <v>5</v>
      </c>
      <c r="L3" s="3">
        <v>2</v>
      </c>
      <c r="M3" s="3">
        <v>0</v>
      </c>
      <c r="N3" s="3">
        <f>SUM(B3:M3)</f>
        <v>461</v>
      </c>
      <c r="O3" s="3">
        <f>SUM(H3:J3)</f>
        <v>268</v>
      </c>
    </row>
    <row r="4" spans="1:15">
      <c r="A4" s="2">
        <v>0.9</v>
      </c>
      <c r="B4" s="3">
        <v>39</v>
      </c>
      <c r="C4" s="3">
        <v>17</v>
      </c>
      <c r="D4" s="3">
        <v>3</v>
      </c>
      <c r="E4" s="3">
        <v>47</v>
      </c>
      <c r="F4">
        <v>43</v>
      </c>
      <c r="G4">
        <v>67</v>
      </c>
      <c r="H4">
        <v>116</v>
      </c>
      <c r="I4">
        <v>174</v>
      </c>
      <c r="J4">
        <v>80</v>
      </c>
      <c r="K4" s="3">
        <v>10</v>
      </c>
      <c r="L4">
        <v>4</v>
      </c>
      <c r="M4">
        <v>1</v>
      </c>
      <c r="N4" s="3">
        <f>SUM(B4:M4)</f>
        <v>601</v>
      </c>
      <c r="O4" s="3">
        <f t="shared" ref="O4:O8" si="0">SUM(H4:J4)</f>
        <v>370</v>
      </c>
    </row>
    <row r="5" spans="1:15">
      <c r="A5" s="2">
        <v>0.75</v>
      </c>
      <c r="B5" s="3">
        <v>39</v>
      </c>
      <c r="C5" s="3">
        <v>17</v>
      </c>
      <c r="D5" s="3">
        <v>3</v>
      </c>
      <c r="E5" s="3">
        <v>47</v>
      </c>
      <c r="F5">
        <v>62</v>
      </c>
      <c r="G5">
        <v>97</v>
      </c>
      <c r="H5">
        <v>161</v>
      </c>
      <c r="I5">
        <v>240</v>
      </c>
      <c r="J5">
        <v>120</v>
      </c>
      <c r="K5" s="3">
        <v>17</v>
      </c>
      <c r="L5" s="3">
        <v>6</v>
      </c>
      <c r="M5" s="3">
        <v>2</v>
      </c>
      <c r="N5" s="3">
        <f t="shared" ref="N5:N8" si="1">SUM(B5:M5)</f>
        <v>811</v>
      </c>
      <c r="O5" s="3">
        <f t="shared" si="0"/>
        <v>521</v>
      </c>
    </row>
    <row r="6" spans="1:15">
      <c r="A6" s="2">
        <v>0.5</v>
      </c>
      <c r="B6" s="3">
        <v>39</v>
      </c>
      <c r="C6" s="3">
        <v>17</v>
      </c>
      <c r="D6" s="3">
        <v>3</v>
      </c>
      <c r="E6" s="3">
        <v>47</v>
      </c>
      <c r="F6">
        <v>78</v>
      </c>
      <c r="G6">
        <v>136</v>
      </c>
      <c r="H6">
        <v>205</v>
      </c>
      <c r="I6">
        <v>310</v>
      </c>
      <c r="J6">
        <v>160</v>
      </c>
      <c r="K6" s="3">
        <v>25</v>
      </c>
      <c r="L6" s="3">
        <v>7</v>
      </c>
      <c r="M6" s="3">
        <v>3</v>
      </c>
      <c r="N6" s="3">
        <f t="shared" si="1"/>
        <v>1030</v>
      </c>
      <c r="O6" s="3">
        <f t="shared" si="0"/>
        <v>675</v>
      </c>
    </row>
    <row r="7" spans="1:15">
      <c r="A7" s="2">
        <v>0.25</v>
      </c>
      <c r="B7" s="3">
        <v>39</v>
      </c>
      <c r="C7" s="3">
        <v>17</v>
      </c>
      <c r="D7" s="3">
        <v>3</v>
      </c>
      <c r="E7" s="3">
        <v>47</v>
      </c>
      <c r="F7">
        <v>110</v>
      </c>
      <c r="G7">
        <v>184</v>
      </c>
      <c r="H7">
        <v>280</v>
      </c>
      <c r="I7">
        <v>418</v>
      </c>
      <c r="J7">
        <v>280</v>
      </c>
      <c r="K7" s="3">
        <v>89</v>
      </c>
      <c r="L7" s="3">
        <v>29</v>
      </c>
      <c r="M7" s="3">
        <v>14</v>
      </c>
      <c r="N7" s="3">
        <f t="shared" si="1"/>
        <v>1510</v>
      </c>
      <c r="O7" s="3">
        <f t="shared" si="0"/>
        <v>978</v>
      </c>
    </row>
    <row r="8" spans="1:15">
      <c r="A8" s="2">
        <v>0.1</v>
      </c>
      <c r="B8" s="3">
        <v>39</v>
      </c>
      <c r="C8" s="3">
        <v>17</v>
      </c>
      <c r="D8" s="3">
        <v>3</v>
      </c>
      <c r="E8" s="3">
        <v>47</v>
      </c>
      <c r="F8">
        <v>150</v>
      </c>
      <c r="G8">
        <v>230</v>
      </c>
      <c r="H8">
        <v>350</v>
      </c>
      <c r="I8">
        <v>510</v>
      </c>
      <c r="J8">
        <v>400</v>
      </c>
      <c r="K8" s="3">
        <v>160</v>
      </c>
      <c r="L8" s="3">
        <v>50</v>
      </c>
      <c r="M8" s="3">
        <v>25</v>
      </c>
      <c r="N8" s="3">
        <f t="shared" si="1"/>
        <v>1981</v>
      </c>
      <c r="O8" s="3">
        <f t="shared" si="0"/>
        <v>1260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6">
        <v>1909</v>
      </c>
      <c r="O9" s="2">
        <v>1193</v>
      </c>
    </row>
    <row r="17" ht="13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A572-B24C-0C4B-96BF-A476FD3F508A}">
  <dimension ref="A1:O13"/>
  <sheetViews>
    <sheetView tabSelected="1" workbookViewId="0">
      <selection activeCell="B13" sqref="B13:O13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41</v>
      </c>
      <c r="C3" s="3">
        <v>19</v>
      </c>
      <c r="D3" s="3">
        <v>5</v>
      </c>
      <c r="E3" s="3">
        <v>48</v>
      </c>
      <c r="F3" s="3">
        <v>33</v>
      </c>
      <c r="G3" s="3">
        <v>38</v>
      </c>
      <c r="H3">
        <v>68</v>
      </c>
      <c r="I3">
        <v>100</v>
      </c>
      <c r="J3">
        <v>30</v>
      </c>
      <c r="K3" s="3">
        <v>7</v>
      </c>
      <c r="L3" s="3">
        <v>0</v>
      </c>
      <c r="M3" s="3">
        <v>0</v>
      </c>
      <c r="N3" s="3">
        <f t="shared" ref="N3:N8" si="0">SUM(B3:M3)</f>
        <v>389</v>
      </c>
      <c r="O3" s="3">
        <f>SUM(H3:J3)</f>
        <v>198</v>
      </c>
    </row>
    <row r="4" spans="1:15">
      <c r="A4" s="2">
        <v>0.9</v>
      </c>
      <c r="B4" s="3">
        <v>41</v>
      </c>
      <c r="C4" s="3">
        <v>19</v>
      </c>
      <c r="D4" s="3">
        <v>5</v>
      </c>
      <c r="E4" s="3">
        <v>48</v>
      </c>
      <c r="F4" s="3">
        <v>33</v>
      </c>
      <c r="G4" s="3">
        <v>62</v>
      </c>
      <c r="H4">
        <v>95</v>
      </c>
      <c r="I4">
        <v>125</v>
      </c>
      <c r="J4">
        <v>50</v>
      </c>
      <c r="K4">
        <v>10</v>
      </c>
      <c r="L4">
        <v>0</v>
      </c>
      <c r="M4">
        <v>0</v>
      </c>
      <c r="N4" s="3">
        <f t="shared" si="0"/>
        <v>488</v>
      </c>
      <c r="O4" s="3">
        <f t="shared" ref="O4:O8" si="1">SUM(H4:J4)</f>
        <v>270</v>
      </c>
    </row>
    <row r="5" spans="1:15">
      <c r="A5" s="2">
        <v>0.75</v>
      </c>
      <c r="B5" s="3">
        <v>41</v>
      </c>
      <c r="C5" s="3">
        <v>19</v>
      </c>
      <c r="D5" s="3">
        <v>5</v>
      </c>
      <c r="E5" s="3">
        <v>48</v>
      </c>
      <c r="F5" s="3">
        <v>33</v>
      </c>
      <c r="G5" s="3">
        <v>85</v>
      </c>
      <c r="H5">
        <v>122</v>
      </c>
      <c r="I5">
        <v>156</v>
      </c>
      <c r="J5">
        <v>65</v>
      </c>
      <c r="K5">
        <v>12</v>
      </c>
      <c r="L5">
        <v>1</v>
      </c>
      <c r="M5">
        <v>1</v>
      </c>
      <c r="N5" s="3">
        <f t="shared" si="0"/>
        <v>588</v>
      </c>
      <c r="O5" s="3">
        <f t="shared" si="1"/>
        <v>343</v>
      </c>
    </row>
    <row r="6" spans="1:15">
      <c r="A6" s="2">
        <v>0.5</v>
      </c>
      <c r="B6" s="3">
        <v>41</v>
      </c>
      <c r="C6" s="3">
        <v>19</v>
      </c>
      <c r="D6" s="3">
        <v>5</v>
      </c>
      <c r="E6" s="3">
        <v>48</v>
      </c>
      <c r="F6" s="3">
        <v>33</v>
      </c>
      <c r="G6" s="3">
        <v>110</v>
      </c>
      <c r="H6">
        <v>160</v>
      </c>
      <c r="I6">
        <v>215</v>
      </c>
      <c r="J6">
        <v>80</v>
      </c>
      <c r="K6">
        <v>15</v>
      </c>
      <c r="L6">
        <v>2</v>
      </c>
      <c r="M6">
        <v>1</v>
      </c>
      <c r="N6" s="3">
        <f t="shared" si="0"/>
        <v>729</v>
      </c>
      <c r="O6" s="3">
        <f t="shared" si="1"/>
        <v>455</v>
      </c>
    </row>
    <row r="7" spans="1:15">
      <c r="A7" s="2">
        <v>0.25</v>
      </c>
      <c r="B7" s="3">
        <v>41</v>
      </c>
      <c r="C7" s="3">
        <v>19</v>
      </c>
      <c r="D7" s="3">
        <v>5</v>
      </c>
      <c r="E7" s="3">
        <v>48</v>
      </c>
      <c r="F7" s="3">
        <v>33</v>
      </c>
      <c r="G7" s="3">
        <v>128</v>
      </c>
      <c r="H7">
        <v>200</v>
      </c>
      <c r="I7">
        <v>271</v>
      </c>
      <c r="J7">
        <v>154</v>
      </c>
      <c r="K7">
        <v>31</v>
      </c>
      <c r="L7">
        <v>6</v>
      </c>
      <c r="M7">
        <v>3</v>
      </c>
      <c r="N7" s="3">
        <f t="shared" si="0"/>
        <v>939</v>
      </c>
      <c r="O7" s="3">
        <f t="shared" si="1"/>
        <v>625</v>
      </c>
    </row>
    <row r="8" spans="1:15">
      <c r="A8" s="2">
        <v>0.1</v>
      </c>
      <c r="B8" s="3">
        <v>41</v>
      </c>
      <c r="C8" s="3">
        <v>19</v>
      </c>
      <c r="D8" s="3">
        <v>5</v>
      </c>
      <c r="E8" s="3">
        <v>48</v>
      </c>
      <c r="F8" s="3">
        <v>33</v>
      </c>
      <c r="G8" s="3">
        <v>152</v>
      </c>
      <c r="H8">
        <v>240</v>
      </c>
      <c r="I8">
        <v>395</v>
      </c>
      <c r="J8">
        <v>310</v>
      </c>
      <c r="K8">
        <v>75</v>
      </c>
      <c r="L8">
        <v>14</v>
      </c>
      <c r="M8">
        <v>6</v>
      </c>
      <c r="N8" s="3">
        <f t="shared" si="0"/>
        <v>1338</v>
      </c>
      <c r="O8" s="3">
        <f t="shared" si="1"/>
        <v>945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6">
        <v>1909</v>
      </c>
      <c r="O9" s="2">
        <v>1193</v>
      </c>
    </row>
    <row r="13" spans="1:15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3FD50-5289-0B40-9FAD-BE3E07A006C9}">
  <dimension ref="A1:O9"/>
  <sheetViews>
    <sheetView workbookViewId="0">
      <selection activeCell="B3" sqref="B3:K7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41</v>
      </c>
      <c r="C3" s="3">
        <v>19</v>
      </c>
      <c r="D3" s="3">
        <v>5</v>
      </c>
      <c r="E3" s="3">
        <v>48</v>
      </c>
      <c r="F3" s="3">
        <v>33</v>
      </c>
      <c r="G3" s="3">
        <v>107</v>
      </c>
      <c r="H3">
        <v>124</v>
      </c>
      <c r="I3">
        <v>158</v>
      </c>
      <c r="J3">
        <v>74</v>
      </c>
      <c r="K3">
        <v>10</v>
      </c>
      <c r="L3">
        <v>0</v>
      </c>
      <c r="M3">
        <v>0</v>
      </c>
      <c r="N3" s="3">
        <f t="shared" ref="N3:N8" si="0">SUM(B3:M3)</f>
        <v>619</v>
      </c>
      <c r="O3" s="3">
        <f>SUM(H3:J3)</f>
        <v>356</v>
      </c>
    </row>
    <row r="4" spans="1:15">
      <c r="A4" s="2">
        <v>0.9</v>
      </c>
      <c r="B4" s="3">
        <v>41</v>
      </c>
      <c r="C4" s="3">
        <v>19</v>
      </c>
      <c r="D4" s="3">
        <v>5</v>
      </c>
      <c r="E4" s="3">
        <v>48</v>
      </c>
      <c r="F4" s="3">
        <v>33</v>
      </c>
      <c r="G4" s="3">
        <v>107</v>
      </c>
      <c r="H4">
        <v>135</v>
      </c>
      <c r="I4">
        <v>185</v>
      </c>
      <c r="J4">
        <v>82</v>
      </c>
      <c r="K4">
        <v>13</v>
      </c>
      <c r="L4">
        <v>1</v>
      </c>
      <c r="M4">
        <v>0</v>
      </c>
      <c r="N4" s="3">
        <f t="shared" si="0"/>
        <v>669</v>
      </c>
      <c r="O4" s="3">
        <f t="shared" ref="O4:O8" si="1">SUM(H4:J4)</f>
        <v>402</v>
      </c>
    </row>
    <row r="5" spans="1:15">
      <c r="A5" s="2">
        <v>0.75</v>
      </c>
      <c r="B5" s="3">
        <v>41</v>
      </c>
      <c r="C5" s="3">
        <v>19</v>
      </c>
      <c r="D5" s="3">
        <v>5</v>
      </c>
      <c r="E5" s="3">
        <v>48</v>
      </c>
      <c r="F5" s="3">
        <v>33</v>
      </c>
      <c r="G5" s="3">
        <v>107</v>
      </c>
      <c r="H5">
        <v>166</v>
      </c>
      <c r="I5">
        <v>214</v>
      </c>
      <c r="J5">
        <v>96</v>
      </c>
      <c r="K5">
        <v>16</v>
      </c>
      <c r="L5">
        <v>3</v>
      </c>
      <c r="M5">
        <v>0</v>
      </c>
      <c r="N5" s="3">
        <f t="shared" si="0"/>
        <v>748</v>
      </c>
      <c r="O5" s="3">
        <f t="shared" si="1"/>
        <v>476</v>
      </c>
    </row>
    <row r="6" spans="1:15">
      <c r="A6" s="2">
        <v>0.5</v>
      </c>
      <c r="B6" s="3">
        <v>41</v>
      </c>
      <c r="C6" s="3">
        <v>19</v>
      </c>
      <c r="D6" s="3">
        <v>5</v>
      </c>
      <c r="E6" s="3">
        <v>48</v>
      </c>
      <c r="F6" s="3">
        <v>33</v>
      </c>
      <c r="G6" s="3">
        <v>107</v>
      </c>
      <c r="H6">
        <v>180</v>
      </c>
      <c r="I6">
        <v>260</v>
      </c>
      <c r="J6">
        <v>110</v>
      </c>
      <c r="K6">
        <v>20</v>
      </c>
      <c r="L6">
        <v>5</v>
      </c>
      <c r="M6">
        <v>1</v>
      </c>
      <c r="N6" s="3">
        <f t="shared" si="0"/>
        <v>829</v>
      </c>
      <c r="O6" s="3">
        <f t="shared" si="1"/>
        <v>550</v>
      </c>
    </row>
    <row r="7" spans="1:15">
      <c r="A7" s="2">
        <v>0.25</v>
      </c>
      <c r="B7" s="3">
        <v>41</v>
      </c>
      <c r="C7" s="3">
        <v>19</v>
      </c>
      <c r="D7" s="3">
        <v>5</v>
      </c>
      <c r="E7" s="3">
        <v>48</v>
      </c>
      <c r="F7" s="3">
        <v>33</v>
      </c>
      <c r="G7" s="3">
        <v>107</v>
      </c>
      <c r="H7">
        <v>220</v>
      </c>
      <c r="I7">
        <v>320</v>
      </c>
      <c r="J7">
        <v>185</v>
      </c>
      <c r="K7">
        <v>40</v>
      </c>
      <c r="L7">
        <v>13</v>
      </c>
      <c r="M7">
        <v>8</v>
      </c>
      <c r="N7" s="3">
        <f t="shared" si="0"/>
        <v>1039</v>
      </c>
      <c r="O7" s="3">
        <f t="shared" si="1"/>
        <v>725</v>
      </c>
    </row>
    <row r="8" spans="1:15">
      <c r="A8" s="2">
        <v>0.1</v>
      </c>
      <c r="B8" s="3">
        <v>41</v>
      </c>
      <c r="C8" s="3">
        <v>19</v>
      </c>
      <c r="D8" s="3">
        <v>5</v>
      </c>
      <c r="E8" s="3">
        <v>48</v>
      </c>
      <c r="F8" s="3">
        <v>33</v>
      </c>
      <c r="G8" s="3">
        <v>107</v>
      </c>
      <c r="H8">
        <v>260</v>
      </c>
      <c r="I8">
        <v>380</v>
      </c>
      <c r="J8">
        <v>250</v>
      </c>
      <c r="K8">
        <v>60</v>
      </c>
      <c r="L8">
        <v>21</v>
      </c>
      <c r="M8">
        <v>15</v>
      </c>
      <c r="N8" s="3">
        <f t="shared" si="0"/>
        <v>1239</v>
      </c>
      <c r="O8" s="3">
        <f t="shared" si="1"/>
        <v>890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6">
        <v>1909</v>
      </c>
      <c r="O9" s="2">
        <v>1193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B085-E059-1C4D-A77F-7EBB7256EEEE}">
  <dimension ref="A1:O9"/>
  <sheetViews>
    <sheetView workbookViewId="0">
      <selection activeCell="E11" sqref="E11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41</v>
      </c>
      <c r="C3" s="3">
        <v>19</v>
      </c>
      <c r="D3" s="3">
        <v>5</v>
      </c>
      <c r="E3" s="3">
        <v>48</v>
      </c>
      <c r="F3" s="3">
        <v>33</v>
      </c>
      <c r="G3" s="3">
        <v>107</v>
      </c>
      <c r="H3">
        <v>289</v>
      </c>
      <c r="I3">
        <v>159</v>
      </c>
      <c r="J3">
        <v>81</v>
      </c>
      <c r="K3">
        <v>14</v>
      </c>
      <c r="L3">
        <v>3</v>
      </c>
      <c r="M3">
        <v>0</v>
      </c>
      <c r="N3" s="3">
        <f t="shared" ref="N3:N8" si="0">SUM(B3:M3)</f>
        <v>799</v>
      </c>
      <c r="O3" s="3">
        <f>SUM(H3:J3)</f>
        <v>529</v>
      </c>
    </row>
    <row r="4" spans="1:15">
      <c r="A4" s="2">
        <v>0.9</v>
      </c>
      <c r="B4" s="3">
        <v>41</v>
      </c>
      <c r="C4" s="3">
        <v>19</v>
      </c>
      <c r="D4" s="3">
        <v>5</v>
      </c>
      <c r="E4" s="3">
        <v>48</v>
      </c>
      <c r="F4" s="3">
        <v>33</v>
      </c>
      <c r="G4" s="3">
        <v>107</v>
      </c>
      <c r="H4">
        <v>289</v>
      </c>
      <c r="I4">
        <v>192</v>
      </c>
      <c r="J4">
        <v>92</v>
      </c>
      <c r="K4">
        <v>17</v>
      </c>
      <c r="L4">
        <v>5</v>
      </c>
      <c r="M4">
        <v>1</v>
      </c>
      <c r="N4" s="3">
        <f t="shared" si="0"/>
        <v>849</v>
      </c>
      <c r="O4" s="3">
        <f t="shared" ref="O4:O8" si="1">SUM(H4:J4)</f>
        <v>573</v>
      </c>
    </row>
    <row r="5" spans="1:15">
      <c r="A5" s="2">
        <v>0.75</v>
      </c>
      <c r="B5" s="3">
        <v>41</v>
      </c>
      <c r="C5" s="3">
        <v>19</v>
      </c>
      <c r="D5" s="3">
        <v>5</v>
      </c>
      <c r="E5" s="3">
        <v>48</v>
      </c>
      <c r="F5" s="3">
        <v>33</v>
      </c>
      <c r="G5" s="3">
        <v>107</v>
      </c>
      <c r="H5">
        <v>289</v>
      </c>
      <c r="I5">
        <v>212</v>
      </c>
      <c r="J5">
        <v>100</v>
      </c>
      <c r="K5">
        <v>19</v>
      </c>
      <c r="L5">
        <v>5</v>
      </c>
      <c r="M5">
        <v>1</v>
      </c>
      <c r="N5" s="3">
        <f t="shared" si="0"/>
        <v>879</v>
      </c>
      <c r="O5" s="3">
        <f t="shared" si="1"/>
        <v>601</v>
      </c>
    </row>
    <row r="6" spans="1:15">
      <c r="A6" s="2">
        <v>0.5</v>
      </c>
      <c r="B6" s="3">
        <v>41</v>
      </c>
      <c r="C6" s="3">
        <v>19</v>
      </c>
      <c r="D6" s="3">
        <v>5</v>
      </c>
      <c r="E6" s="3">
        <v>48</v>
      </c>
      <c r="F6" s="3">
        <v>33</v>
      </c>
      <c r="G6" s="3">
        <v>107</v>
      </c>
      <c r="H6">
        <v>289</v>
      </c>
      <c r="I6">
        <v>240</v>
      </c>
      <c r="J6">
        <v>110</v>
      </c>
      <c r="K6">
        <v>21</v>
      </c>
      <c r="L6">
        <v>5</v>
      </c>
      <c r="M6">
        <v>1</v>
      </c>
      <c r="N6" s="3">
        <f t="shared" si="0"/>
        <v>919</v>
      </c>
      <c r="O6" s="3">
        <f t="shared" si="1"/>
        <v>639</v>
      </c>
    </row>
    <row r="7" spans="1:15">
      <c r="A7" s="2">
        <v>0.25</v>
      </c>
      <c r="B7" s="3">
        <v>41</v>
      </c>
      <c r="C7" s="3">
        <v>19</v>
      </c>
      <c r="D7" s="3">
        <v>5</v>
      </c>
      <c r="E7" s="3">
        <v>48</v>
      </c>
      <c r="F7" s="3">
        <v>33</v>
      </c>
      <c r="G7" s="3">
        <v>107</v>
      </c>
      <c r="H7">
        <v>289</v>
      </c>
      <c r="I7">
        <v>266</v>
      </c>
      <c r="J7">
        <v>160</v>
      </c>
      <c r="K7">
        <v>31</v>
      </c>
      <c r="L7">
        <v>7</v>
      </c>
      <c r="M7">
        <v>3</v>
      </c>
      <c r="N7" s="3">
        <f t="shared" si="0"/>
        <v>1009</v>
      </c>
      <c r="O7" s="3">
        <f t="shared" si="1"/>
        <v>715</v>
      </c>
    </row>
    <row r="8" spans="1:15">
      <c r="A8" s="2">
        <v>0.1</v>
      </c>
      <c r="B8" s="3">
        <v>41</v>
      </c>
      <c r="C8" s="3">
        <v>19</v>
      </c>
      <c r="D8" s="3">
        <v>5</v>
      </c>
      <c r="E8" s="3">
        <v>48</v>
      </c>
      <c r="F8" s="3">
        <v>33</v>
      </c>
      <c r="G8" s="3">
        <v>107</v>
      </c>
      <c r="H8">
        <v>289</v>
      </c>
      <c r="I8">
        <v>305</v>
      </c>
      <c r="J8">
        <v>195</v>
      </c>
      <c r="K8">
        <v>41</v>
      </c>
      <c r="L8">
        <v>10</v>
      </c>
      <c r="M8">
        <v>6</v>
      </c>
      <c r="N8" s="3">
        <f t="shared" si="0"/>
        <v>1099</v>
      </c>
      <c r="O8" s="3">
        <f t="shared" si="1"/>
        <v>789</v>
      </c>
    </row>
    <row r="9" spans="1:15">
      <c r="A9" s="3"/>
      <c r="B9" s="3"/>
      <c r="C9" s="3"/>
      <c r="D9" s="3"/>
      <c r="E9" s="3"/>
      <c r="F9" s="3"/>
      <c r="G9" s="3"/>
      <c r="K9" s="3"/>
      <c r="L9" s="3"/>
      <c r="M9" s="6" t="s">
        <v>16</v>
      </c>
      <c r="N9" s="6">
        <v>1909</v>
      </c>
      <c r="O9" s="2">
        <v>1193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EC268-B450-A34C-90B7-FA438A3BE526}">
  <dimension ref="A1:O9"/>
  <sheetViews>
    <sheetView workbookViewId="0">
      <selection sqref="A1:XFD9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>
        <f>SUM(B3:M3)</f>
        <v>0</v>
      </c>
      <c r="O3" s="3">
        <f>SUM(H3:J3)</f>
        <v>0</v>
      </c>
    </row>
    <row r="4" spans="1:15">
      <c r="A4" s="2">
        <v>0.9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>
        <f t="shared" ref="N4:N8" si="0">SUM(B4:M4)</f>
        <v>0</v>
      </c>
      <c r="O4" s="3">
        <f t="shared" ref="O4:O8" si="1">SUM(H4:J4)</f>
        <v>0</v>
      </c>
    </row>
    <row r="5" spans="1:15">
      <c r="A5" s="2">
        <v>0.75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>
        <f t="shared" si="0"/>
        <v>0</v>
      </c>
      <c r="O5" s="3">
        <f t="shared" si="1"/>
        <v>0</v>
      </c>
    </row>
    <row r="6" spans="1:15">
      <c r="A6" s="2">
        <v>0.5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>
        <f t="shared" si="0"/>
        <v>0</v>
      </c>
      <c r="O6" s="3">
        <f t="shared" si="1"/>
        <v>0</v>
      </c>
    </row>
    <row r="7" spans="1:15">
      <c r="A7" s="2">
        <v>0.25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>
        <f t="shared" si="0"/>
        <v>0</v>
      </c>
      <c r="O7" s="3">
        <f t="shared" si="1"/>
        <v>0</v>
      </c>
    </row>
    <row r="8" spans="1:15">
      <c r="A8" s="2">
        <v>0.1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>
        <f t="shared" si="0"/>
        <v>0</v>
      </c>
      <c r="O8" s="3">
        <f t="shared" si="1"/>
        <v>0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6">
        <v>1909</v>
      </c>
      <c r="O9" s="2">
        <v>1193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Dec1</vt:lpstr>
      <vt:lpstr>Jan1</vt:lpstr>
      <vt:lpstr>Feb1</vt:lpstr>
      <vt:lpstr>Mar1</vt:lpstr>
      <vt:lpstr>Apr1</vt:lpstr>
      <vt:lpstr>May1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Evelyn Murdoch</dc:creator>
  <cp:lastModifiedBy>Abbey Hill</cp:lastModifiedBy>
  <dcterms:created xsi:type="dcterms:W3CDTF">2021-12-13T20:28:37Z</dcterms:created>
  <dcterms:modified xsi:type="dcterms:W3CDTF">2022-02-01T20:26:16Z</dcterms:modified>
</cp:coreProperties>
</file>