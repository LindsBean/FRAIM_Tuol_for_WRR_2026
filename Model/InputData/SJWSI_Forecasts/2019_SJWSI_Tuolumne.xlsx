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rality/Desktop/SJWSI_Forcasts/"/>
    </mc:Choice>
  </mc:AlternateContent>
  <xr:revisionPtr revIDLastSave="0" documentId="13_ncr:1_{863499F0-7F07-5F48-A8D9-B7051CE9AB67}" xr6:coauthVersionLast="47" xr6:coauthVersionMax="47" xr10:uidLastSave="{00000000-0000-0000-0000-000000000000}"/>
  <bookViews>
    <workbookView xWindow="60" yWindow="500" windowWidth="26040" windowHeight="8380" activeTab="5" xr2:uid="{F6C66113-7CBD-A449-AEF8-988AE031A4B8}"/>
  </bookViews>
  <sheets>
    <sheet name="Dec1" sheetId="7" r:id="rId1"/>
    <sheet name="Jan1" sheetId="1" r:id="rId2"/>
    <sheet name="Feb1" sheetId="3" r:id="rId3"/>
    <sheet name="Mar1" sheetId="4" r:id="rId4"/>
    <sheet name="Apr1" sheetId="5" r:id="rId5"/>
    <sheet name="May1" sheetId="6" r:id="rId6"/>
    <sheet name="template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7" l="1"/>
  <c r="O3" i="7"/>
  <c r="N4" i="7"/>
  <c r="O4" i="7"/>
  <c r="N5" i="7"/>
  <c r="O5" i="7"/>
  <c r="N6" i="7"/>
  <c r="O6" i="7"/>
  <c r="N7" i="7"/>
  <c r="O7" i="7"/>
  <c r="N8" i="7"/>
  <c r="O8" i="7"/>
  <c r="O8" i="6"/>
  <c r="N8" i="6"/>
  <c r="O7" i="6"/>
  <c r="N7" i="6"/>
  <c r="O6" i="6"/>
  <c r="N6" i="6"/>
  <c r="O5" i="6"/>
  <c r="N5" i="6"/>
  <c r="O4" i="6"/>
  <c r="N4" i="6"/>
  <c r="O3" i="6"/>
  <c r="N3" i="6"/>
  <c r="O4" i="5"/>
  <c r="O5" i="5"/>
  <c r="O6" i="5"/>
  <c r="O7" i="5"/>
  <c r="O8" i="5"/>
  <c r="O3" i="5"/>
  <c r="N8" i="5"/>
  <c r="N7" i="5"/>
  <c r="N6" i="5"/>
  <c r="N5" i="5"/>
  <c r="N4" i="5"/>
  <c r="N3" i="5"/>
  <c r="N8" i="4"/>
  <c r="O4" i="4"/>
  <c r="O5" i="4"/>
  <c r="O6" i="4"/>
  <c r="O7" i="4"/>
  <c r="O8" i="4"/>
  <c r="O3" i="4"/>
  <c r="O3" i="2"/>
  <c r="N7" i="4"/>
  <c r="N6" i="4"/>
  <c r="N5" i="4"/>
  <c r="N4" i="4"/>
  <c r="N3" i="4"/>
  <c r="O4" i="2"/>
  <c r="O5" i="2"/>
  <c r="O6" i="2"/>
  <c r="O7" i="2"/>
  <c r="O8" i="2"/>
  <c r="N4" i="2"/>
  <c r="N5" i="2"/>
  <c r="N6" i="2"/>
  <c r="N7" i="2"/>
  <c r="N8" i="2"/>
  <c r="N3" i="2"/>
  <c r="O4" i="3"/>
  <c r="O5" i="3"/>
  <c r="O6" i="3"/>
  <c r="O7" i="3"/>
  <c r="O8" i="3"/>
  <c r="N4" i="3"/>
  <c r="N5" i="3"/>
  <c r="N6" i="3"/>
  <c r="N7" i="3"/>
  <c r="N8" i="3"/>
  <c r="O3" i="3"/>
  <c r="N3" i="3"/>
</calcChain>
</file>

<file path=xl/sharedStrings.xml><?xml version="1.0" encoding="utf-8"?>
<sst xmlns="http://schemas.openxmlformats.org/spreadsheetml/2006/main" count="119" uniqueCount="17">
  <si>
    <t xml:space="preserve">Tuolumne River below La Grange Reservoir Unimpaired Flow [taf] 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</si>
  <si>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</si>
  <si>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</si>
  <si>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</si>
  <si>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</si>
  <si>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</si>
  <si>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</si>
  <si>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</si>
  <si>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</si>
  <si>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</si>
  <si>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</si>
  <si>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</si>
  <si>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</si>
  <si>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WY</t>
  </si>
  <si>
    <t>Apr-Jun</t>
  </si>
  <si>
    <t>WY %Avg</t>
  </si>
  <si>
    <t xml:space="preserve">1966-2015 avg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</si>
</sst>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9"/>
      <color theme="1"/>
      <name val="ArialMT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rgb="FF000000"/>
      <name val="ArialMT"/>
    </font>
    <font>
      <b/>
      <sz val="9"/>
      <color rgb="FF000000"/>
      <name val="ArialMT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9" fontId="0" fillId="0" borderId="0" xfId="0" applyNumberFormat="1"/>
    <xf numFmtId="3" fontId="0" fillId="0" borderId="0" xfId="0" applyNumberForma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CB8F-A1C1-3043-BD80-8F55512AEE8C}">
  <dimension ref="A1:O9"/>
  <sheetViews>
    <sheetView workbookViewId="0">
      <selection activeCell="F13" sqref="F13"/>
    </sheetView>
  </sheetViews>
  <sheetFormatPr baseColWidth="10" defaultRowHeight="16"/>
  <sheetData>
    <row r="1" spans="1:15">
      <c r="A1" s="3" t="s">
        <v>0</v>
      </c>
      <c r="B1" s="3"/>
      <c r="C1" s="3"/>
      <c r="D1" s="3"/>
      <c r="E1" s="3"/>
      <c r="F1" s="3"/>
      <c r="G1" s="12" t="s">
        <v>15</v>
      </c>
      <c r="H1" s="4"/>
      <c r="I1" s="4"/>
      <c r="J1" s="4"/>
      <c r="K1" s="4"/>
      <c r="L1" s="4"/>
      <c r="M1" s="4"/>
      <c r="N1" s="4"/>
      <c r="O1" s="4"/>
    </row>
    <row r="2" spans="1:15">
      <c r="A2" s="4"/>
      <c r="B2" s="13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</row>
    <row r="3" spans="1:15">
      <c r="A3" s="11">
        <v>0.99</v>
      </c>
      <c r="B3" s="4">
        <v>14</v>
      </c>
      <c r="C3" s="4">
        <v>25</v>
      </c>
      <c r="D3" s="4">
        <v>20</v>
      </c>
      <c r="E3">
        <v>28</v>
      </c>
      <c r="F3">
        <v>49</v>
      </c>
      <c r="G3">
        <v>77</v>
      </c>
      <c r="H3">
        <v>138</v>
      </c>
      <c r="I3">
        <v>175</v>
      </c>
      <c r="J3">
        <v>82</v>
      </c>
      <c r="K3">
        <v>20</v>
      </c>
      <c r="L3">
        <v>7</v>
      </c>
      <c r="M3">
        <v>6</v>
      </c>
      <c r="N3" s="4">
        <f t="shared" ref="N3:N8" si="0">SUM(B3:M3)</f>
        <v>641</v>
      </c>
      <c r="O3" s="4">
        <f t="shared" ref="O3:O8" si="1">SUM(H3:J3)</f>
        <v>395</v>
      </c>
    </row>
    <row r="4" spans="1:15">
      <c r="A4" s="12">
        <v>0.9</v>
      </c>
      <c r="B4" s="4">
        <v>14</v>
      </c>
      <c r="C4" s="4">
        <v>25</v>
      </c>
      <c r="D4" s="4">
        <v>35</v>
      </c>
      <c r="E4">
        <v>52</v>
      </c>
      <c r="F4">
        <v>89</v>
      </c>
      <c r="G4">
        <v>137</v>
      </c>
      <c r="H4">
        <v>180</v>
      </c>
      <c r="I4">
        <v>270</v>
      </c>
      <c r="J4">
        <v>165</v>
      </c>
      <c r="K4">
        <v>30</v>
      </c>
      <c r="L4">
        <v>13</v>
      </c>
      <c r="M4">
        <v>11</v>
      </c>
      <c r="N4" s="4">
        <f t="shared" si="0"/>
        <v>1021</v>
      </c>
      <c r="O4" s="4">
        <f t="shared" si="1"/>
        <v>615</v>
      </c>
    </row>
    <row r="5" spans="1:15">
      <c r="A5" s="12">
        <v>0.75</v>
      </c>
      <c r="B5" s="4">
        <v>14</v>
      </c>
      <c r="C5" s="4">
        <v>25</v>
      </c>
      <c r="D5" s="4">
        <v>55</v>
      </c>
      <c r="E5">
        <v>105</v>
      </c>
      <c r="F5">
        <v>130</v>
      </c>
      <c r="G5">
        <v>163</v>
      </c>
      <c r="H5">
        <v>210</v>
      </c>
      <c r="I5">
        <v>340</v>
      </c>
      <c r="J5">
        <v>255</v>
      </c>
      <c r="K5">
        <v>70</v>
      </c>
      <c r="L5">
        <v>26</v>
      </c>
      <c r="M5">
        <v>17</v>
      </c>
      <c r="N5" s="4">
        <f t="shared" si="0"/>
        <v>1410</v>
      </c>
      <c r="O5" s="4">
        <f t="shared" si="1"/>
        <v>805</v>
      </c>
    </row>
    <row r="6" spans="1:15">
      <c r="A6" s="12">
        <v>0.5</v>
      </c>
      <c r="B6" s="4">
        <v>14</v>
      </c>
      <c r="C6" s="4">
        <v>25</v>
      </c>
      <c r="D6" s="4">
        <v>75</v>
      </c>
      <c r="E6">
        <v>162</v>
      </c>
      <c r="F6">
        <v>169</v>
      </c>
      <c r="G6">
        <v>205</v>
      </c>
      <c r="H6">
        <v>235</v>
      </c>
      <c r="I6">
        <v>415</v>
      </c>
      <c r="J6">
        <v>345</v>
      </c>
      <c r="K6">
        <v>110</v>
      </c>
      <c r="L6">
        <v>35</v>
      </c>
      <c r="M6">
        <v>21</v>
      </c>
      <c r="N6" s="4">
        <f t="shared" si="0"/>
        <v>1811</v>
      </c>
      <c r="O6" s="4">
        <f t="shared" si="1"/>
        <v>995</v>
      </c>
    </row>
    <row r="7" spans="1:15">
      <c r="A7" s="12">
        <v>0.25</v>
      </c>
      <c r="B7" s="4">
        <v>14</v>
      </c>
      <c r="C7" s="4">
        <v>25</v>
      </c>
      <c r="D7" s="4">
        <v>120</v>
      </c>
      <c r="E7">
        <v>246</v>
      </c>
      <c r="F7">
        <v>209</v>
      </c>
      <c r="G7">
        <v>254</v>
      </c>
      <c r="H7">
        <v>290</v>
      </c>
      <c r="I7">
        <v>495</v>
      </c>
      <c r="J7">
        <v>475</v>
      </c>
      <c r="K7">
        <v>230</v>
      </c>
      <c r="L7">
        <v>49</v>
      </c>
      <c r="M7">
        <v>24</v>
      </c>
      <c r="N7" s="4">
        <f t="shared" si="0"/>
        <v>2431</v>
      </c>
      <c r="O7" s="4">
        <f t="shared" si="1"/>
        <v>1260</v>
      </c>
    </row>
    <row r="8" spans="1:15">
      <c r="A8" s="12">
        <v>0.1</v>
      </c>
      <c r="B8" s="4">
        <v>14</v>
      </c>
      <c r="C8" s="4">
        <v>25</v>
      </c>
      <c r="D8" s="4">
        <v>166</v>
      </c>
      <c r="E8">
        <v>327</v>
      </c>
      <c r="F8">
        <v>243</v>
      </c>
      <c r="G8">
        <v>313</v>
      </c>
      <c r="H8">
        <v>345</v>
      </c>
      <c r="I8">
        <v>570</v>
      </c>
      <c r="J8">
        <v>600</v>
      </c>
      <c r="K8">
        <v>350</v>
      </c>
      <c r="L8">
        <v>71</v>
      </c>
      <c r="M8">
        <v>26</v>
      </c>
      <c r="N8" s="4">
        <f t="shared" si="0"/>
        <v>3050</v>
      </c>
      <c r="O8" s="4">
        <f t="shared" si="1"/>
        <v>1515</v>
      </c>
    </row>
    <row r="9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10" t="s">
        <v>16</v>
      </c>
      <c r="N9" s="10">
        <v>1909</v>
      </c>
      <c r="O9" s="4">
        <v>1193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B81A-7A94-2E45-9FB0-C4CC1BED4D8C}">
  <dimension ref="A1:O9"/>
  <sheetViews>
    <sheetView workbookViewId="0">
      <selection activeCell="H16" sqref="H16"/>
    </sheetView>
  </sheetViews>
  <sheetFormatPr baseColWidth="10" defaultRowHeight="16"/>
  <sheetData>
    <row r="1" spans="1:15">
      <c r="A1" s="2" t="s">
        <v>0</v>
      </c>
      <c r="G1" t="s">
        <v>15</v>
      </c>
      <c r="H1" s="8">
        <v>0.8</v>
      </c>
    </row>
    <row r="2" spans="1:15">
      <c r="B2" s="1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>
      <c r="A3">
        <v>0.99</v>
      </c>
      <c r="B3">
        <v>14</v>
      </c>
      <c r="C3">
        <v>25</v>
      </c>
      <c r="D3">
        <v>42</v>
      </c>
      <c r="E3">
        <v>25</v>
      </c>
      <c r="F3">
        <v>44</v>
      </c>
      <c r="G3">
        <v>69</v>
      </c>
      <c r="H3">
        <v>125</v>
      </c>
      <c r="I3">
        <v>155</v>
      </c>
      <c r="J3">
        <v>75</v>
      </c>
      <c r="K3">
        <v>15</v>
      </c>
      <c r="L3">
        <v>6</v>
      </c>
      <c r="M3">
        <v>5</v>
      </c>
      <c r="N3">
        <v>600</v>
      </c>
      <c r="O3">
        <v>370</v>
      </c>
    </row>
    <row r="4" spans="1:15">
      <c r="A4">
        <v>0.9</v>
      </c>
      <c r="B4">
        <v>14</v>
      </c>
      <c r="C4">
        <v>25</v>
      </c>
      <c r="D4">
        <v>42</v>
      </c>
      <c r="E4">
        <v>40</v>
      </c>
      <c r="F4">
        <v>71</v>
      </c>
      <c r="G4">
        <v>110</v>
      </c>
      <c r="H4">
        <v>175</v>
      </c>
      <c r="I4">
        <v>235</v>
      </c>
      <c r="J4">
        <v>125</v>
      </c>
      <c r="K4">
        <v>25</v>
      </c>
      <c r="L4">
        <v>10</v>
      </c>
      <c r="M4">
        <v>8</v>
      </c>
      <c r="N4">
        <v>880</v>
      </c>
      <c r="O4">
        <v>560</v>
      </c>
    </row>
    <row r="5" spans="1:15">
      <c r="A5">
        <v>0.75</v>
      </c>
      <c r="B5">
        <v>14</v>
      </c>
      <c r="C5">
        <v>25</v>
      </c>
      <c r="D5">
        <v>42</v>
      </c>
      <c r="E5">
        <v>72</v>
      </c>
      <c r="F5">
        <v>103</v>
      </c>
      <c r="G5">
        <v>143</v>
      </c>
      <c r="H5">
        <v>195</v>
      </c>
      <c r="I5">
        <v>315</v>
      </c>
      <c r="J5">
        <v>210</v>
      </c>
      <c r="K5">
        <v>50</v>
      </c>
      <c r="L5">
        <v>18</v>
      </c>
      <c r="M5">
        <v>13</v>
      </c>
      <c r="N5">
        <v>1200</v>
      </c>
      <c r="O5">
        <v>770</v>
      </c>
    </row>
    <row r="6" spans="1:15">
      <c r="A6">
        <v>0.5</v>
      </c>
      <c r="B6">
        <v>14</v>
      </c>
      <c r="C6">
        <v>25</v>
      </c>
      <c r="D6">
        <v>42</v>
      </c>
      <c r="E6">
        <v>114</v>
      </c>
      <c r="F6">
        <v>135</v>
      </c>
      <c r="G6">
        <v>167</v>
      </c>
      <c r="H6">
        <v>215</v>
      </c>
      <c r="I6">
        <v>390</v>
      </c>
      <c r="J6">
        <v>295</v>
      </c>
      <c r="K6">
        <v>80</v>
      </c>
      <c r="L6">
        <v>27</v>
      </c>
      <c r="M6">
        <v>17</v>
      </c>
      <c r="N6">
        <v>1520</v>
      </c>
      <c r="O6">
        <v>980</v>
      </c>
    </row>
    <row r="7" spans="1:15">
      <c r="A7">
        <v>0.25</v>
      </c>
      <c r="B7">
        <v>14</v>
      </c>
      <c r="C7">
        <v>25</v>
      </c>
      <c r="D7">
        <v>42</v>
      </c>
      <c r="E7">
        <v>193</v>
      </c>
      <c r="F7">
        <v>185</v>
      </c>
      <c r="G7">
        <v>221</v>
      </c>
      <c r="H7">
        <v>265</v>
      </c>
      <c r="I7">
        <v>460</v>
      </c>
      <c r="J7">
        <v>410</v>
      </c>
      <c r="K7">
        <v>165</v>
      </c>
      <c r="L7">
        <v>39</v>
      </c>
      <c r="M7">
        <v>22</v>
      </c>
      <c r="N7">
        <v>2040</v>
      </c>
      <c r="O7">
        <v>1300</v>
      </c>
    </row>
    <row r="8" spans="1:15">
      <c r="A8">
        <v>0.1</v>
      </c>
      <c r="B8">
        <v>14</v>
      </c>
      <c r="C8">
        <v>25</v>
      </c>
      <c r="D8">
        <v>42</v>
      </c>
      <c r="E8">
        <v>275</v>
      </c>
      <c r="F8">
        <v>226</v>
      </c>
      <c r="G8">
        <v>278</v>
      </c>
      <c r="H8">
        <v>315</v>
      </c>
      <c r="I8">
        <v>530</v>
      </c>
      <c r="J8">
        <v>520</v>
      </c>
      <c r="K8">
        <v>245</v>
      </c>
      <c r="L8">
        <v>55</v>
      </c>
      <c r="M8">
        <v>26</v>
      </c>
      <c r="N8">
        <v>2550</v>
      </c>
      <c r="O8">
        <v>1610</v>
      </c>
    </row>
    <row r="9" spans="1:15">
      <c r="M9" s="1" t="s">
        <v>16</v>
      </c>
      <c r="N9">
        <v>1909</v>
      </c>
      <c r="O9">
        <v>1193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DEBA-FC54-C74A-91E2-1862B93FC510}">
  <dimension ref="A1:O24"/>
  <sheetViews>
    <sheetView workbookViewId="0">
      <selection activeCell="J18" sqref="J18"/>
    </sheetView>
  </sheetViews>
  <sheetFormatPr baseColWidth="10" defaultRowHeight="16"/>
  <sheetData>
    <row r="1" spans="1:15">
      <c r="A1" s="3" t="s">
        <v>0</v>
      </c>
      <c r="B1" s="3"/>
      <c r="C1" s="3"/>
      <c r="D1" s="3"/>
      <c r="E1" s="3"/>
      <c r="F1" s="3"/>
      <c r="G1" s="4" t="s">
        <v>15</v>
      </c>
      <c r="H1" s="4"/>
      <c r="I1" s="4"/>
      <c r="J1" s="4"/>
      <c r="K1" s="4"/>
      <c r="L1" s="4"/>
      <c r="M1" s="4"/>
      <c r="N1" s="4"/>
      <c r="O1" s="4"/>
    </row>
    <row r="2" spans="1:15">
      <c r="A2" s="4"/>
      <c r="B2" s="5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1:15">
      <c r="A3" s="6">
        <v>0.99</v>
      </c>
      <c r="B3" s="4">
        <v>14</v>
      </c>
      <c r="C3" s="4">
        <v>25</v>
      </c>
      <c r="D3" s="4">
        <v>42</v>
      </c>
      <c r="E3" s="4">
        <v>118</v>
      </c>
      <c r="F3">
        <v>125</v>
      </c>
      <c r="G3">
        <v>115</v>
      </c>
      <c r="H3">
        <v>186</v>
      </c>
      <c r="I3">
        <v>310</v>
      </c>
      <c r="J3">
        <v>220</v>
      </c>
      <c r="K3">
        <v>45</v>
      </c>
      <c r="L3">
        <v>7</v>
      </c>
      <c r="M3">
        <v>3</v>
      </c>
      <c r="N3" s="4">
        <f>SUM(B3:M3)</f>
        <v>1210</v>
      </c>
      <c r="O3" s="4">
        <f>SUM(H3:J3)</f>
        <v>716</v>
      </c>
    </row>
    <row r="4" spans="1:15">
      <c r="A4" s="4">
        <v>0.9</v>
      </c>
      <c r="B4" s="4">
        <v>14</v>
      </c>
      <c r="C4" s="4">
        <v>25</v>
      </c>
      <c r="D4" s="4">
        <v>42</v>
      </c>
      <c r="E4" s="4">
        <v>118</v>
      </c>
      <c r="F4">
        <v>145</v>
      </c>
      <c r="G4">
        <v>128</v>
      </c>
      <c r="H4">
        <v>210</v>
      </c>
      <c r="I4">
        <v>375</v>
      </c>
      <c r="J4">
        <v>280</v>
      </c>
      <c r="K4">
        <v>55</v>
      </c>
      <c r="L4">
        <v>9</v>
      </c>
      <c r="M4">
        <v>4</v>
      </c>
      <c r="N4" s="4">
        <f t="shared" ref="N4:N8" si="0">SUM(B4:M4)</f>
        <v>1405</v>
      </c>
      <c r="O4" s="4">
        <f t="shared" ref="O4:O8" si="1">SUM(H4:J4)</f>
        <v>865</v>
      </c>
    </row>
    <row r="5" spans="1:15">
      <c r="A5" s="4">
        <v>0.75</v>
      </c>
      <c r="B5" s="4">
        <v>14</v>
      </c>
      <c r="C5" s="4">
        <v>25</v>
      </c>
      <c r="D5" s="4">
        <v>42</v>
      </c>
      <c r="E5" s="4">
        <v>118</v>
      </c>
      <c r="F5">
        <v>175</v>
      </c>
      <c r="G5">
        <v>135</v>
      </c>
      <c r="H5">
        <v>245</v>
      </c>
      <c r="I5">
        <v>425</v>
      </c>
      <c r="J5">
        <v>315</v>
      </c>
      <c r="K5">
        <v>65</v>
      </c>
      <c r="L5">
        <v>11</v>
      </c>
      <c r="M5">
        <v>5</v>
      </c>
      <c r="N5" s="4">
        <f t="shared" si="0"/>
        <v>1575</v>
      </c>
      <c r="O5" s="4">
        <f t="shared" si="1"/>
        <v>985</v>
      </c>
    </row>
    <row r="6" spans="1:15">
      <c r="A6" s="4">
        <v>0.5</v>
      </c>
      <c r="B6" s="4">
        <v>14</v>
      </c>
      <c r="C6" s="4">
        <v>25</v>
      </c>
      <c r="D6" s="4">
        <v>42</v>
      </c>
      <c r="E6" s="4">
        <v>118</v>
      </c>
      <c r="F6">
        <v>210</v>
      </c>
      <c r="G6">
        <v>150</v>
      </c>
      <c r="H6">
        <v>270</v>
      </c>
      <c r="I6">
        <v>450</v>
      </c>
      <c r="J6">
        <v>340</v>
      </c>
      <c r="K6">
        <v>70</v>
      </c>
      <c r="L6">
        <v>15</v>
      </c>
      <c r="M6">
        <v>6</v>
      </c>
      <c r="N6" s="4">
        <f t="shared" si="0"/>
        <v>1710</v>
      </c>
      <c r="O6" s="4">
        <f t="shared" si="1"/>
        <v>1060</v>
      </c>
    </row>
    <row r="7" spans="1:15">
      <c r="A7" s="4">
        <v>0.25</v>
      </c>
      <c r="B7" s="4">
        <v>14</v>
      </c>
      <c r="C7" s="4">
        <v>25</v>
      </c>
      <c r="D7" s="4">
        <v>42</v>
      </c>
      <c r="E7" s="4">
        <v>118</v>
      </c>
      <c r="F7">
        <v>240</v>
      </c>
      <c r="G7">
        <v>175</v>
      </c>
      <c r="H7">
        <v>290</v>
      </c>
      <c r="I7">
        <v>480</v>
      </c>
      <c r="J7">
        <v>410</v>
      </c>
      <c r="K7">
        <v>120</v>
      </c>
      <c r="L7">
        <v>22</v>
      </c>
      <c r="M7">
        <v>9</v>
      </c>
      <c r="N7" s="4">
        <f t="shared" si="0"/>
        <v>1945</v>
      </c>
      <c r="O7" s="4">
        <f t="shared" si="1"/>
        <v>1180</v>
      </c>
    </row>
    <row r="8" spans="1:15">
      <c r="A8" s="4">
        <v>0.1</v>
      </c>
      <c r="B8" s="4">
        <v>14</v>
      </c>
      <c r="C8" s="4">
        <v>25</v>
      </c>
      <c r="D8" s="4">
        <v>42</v>
      </c>
      <c r="E8" s="4">
        <v>118</v>
      </c>
      <c r="F8">
        <v>255</v>
      </c>
      <c r="G8">
        <v>200</v>
      </c>
      <c r="H8">
        <v>315</v>
      </c>
      <c r="I8">
        <v>515</v>
      </c>
      <c r="J8">
        <v>460</v>
      </c>
      <c r="K8">
        <v>180</v>
      </c>
      <c r="L8">
        <v>30</v>
      </c>
      <c r="M8">
        <v>11</v>
      </c>
      <c r="N8" s="4">
        <f t="shared" si="0"/>
        <v>2165</v>
      </c>
      <c r="O8" s="4">
        <f t="shared" si="1"/>
        <v>1290</v>
      </c>
    </row>
    <row r="9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7" t="s">
        <v>16</v>
      </c>
      <c r="N9" s="7"/>
      <c r="O9" s="4"/>
    </row>
    <row r="20" spans="1:6">
      <c r="A20" s="9"/>
      <c r="B20" s="9"/>
      <c r="C20" s="9"/>
      <c r="D20" s="9"/>
      <c r="E20" s="9"/>
      <c r="F20" s="9"/>
    </row>
    <row r="21" spans="1:6">
      <c r="A21" s="9"/>
    </row>
    <row r="23" spans="1:6">
      <c r="B23" s="9"/>
      <c r="C23" s="9"/>
      <c r="D23" s="9"/>
      <c r="E23" s="9"/>
    </row>
    <row r="24" spans="1:6">
      <c r="A24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54794-A091-3F4C-8954-D9CC14D9BE02}">
  <dimension ref="A1:O9"/>
  <sheetViews>
    <sheetView workbookViewId="0">
      <selection activeCell="L9" sqref="L9"/>
    </sheetView>
  </sheetViews>
  <sheetFormatPr baseColWidth="10" defaultRowHeight="16"/>
  <sheetData>
    <row r="1" spans="1:15">
      <c r="A1" s="3" t="s">
        <v>0</v>
      </c>
      <c r="B1" s="3"/>
      <c r="C1" s="3"/>
      <c r="D1" s="3"/>
      <c r="E1" s="3"/>
      <c r="F1" s="3"/>
      <c r="G1" s="12" t="s">
        <v>15</v>
      </c>
      <c r="H1" s="14">
        <v>1.35</v>
      </c>
      <c r="I1" s="4"/>
      <c r="J1" s="4"/>
      <c r="K1" s="4"/>
      <c r="L1" s="4"/>
      <c r="M1" s="4"/>
      <c r="N1" s="4"/>
      <c r="O1" s="4"/>
    </row>
    <row r="2" spans="1:15">
      <c r="A2" s="4"/>
      <c r="B2" s="13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</row>
    <row r="3" spans="1:15">
      <c r="A3" s="11">
        <v>0.99</v>
      </c>
      <c r="B3" s="4">
        <v>14</v>
      </c>
      <c r="C3" s="4">
        <v>25</v>
      </c>
      <c r="D3" s="4">
        <v>42</v>
      </c>
      <c r="E3" s="4">
        <v>118</v>
      </c>
      <c r="F3" s="4">
        <v>344</v>
      </c>
      <c r="G3" s="4">
        <v>250</v>
      </c>
      <c r="H3">
        <v>215</v>
      </c>
      <c r="I3">
        <v>345</v>
      </c>
      <c r="J3">
        <v>335</v>
      </c>
      <c r="K3">
        <v>115</v>
      </c>
      <c r="L3">
        <v>18</v>
      </c>
      <c r="M3">
        <v>9</v>
      </c>
      <c r="N3" s="4">
        <f t="shared" ref="N3:N8" si="0">SUM(B3:M3)</f>
        <v>1830</v>
      </c>
      <c r="O3" s="4">
        <f>SUM(H3:J3)</f>
        <v>895</v>
      </c>
    </row>
    <row r="4" spans="1:15">
      <c r="A4" s="12">
        <v>0.9</v>
      </c>
      <c r="B4" s="4">
        <v>14</v>
      </c>
      <c r="C4" s="4">
        <v>25</v>
      </c>
      <c r="D4" s="4">
        <v>42</v>
      </c>
      <c r="E4" s="4">
        <v>118</v>
      </c>
      <c r="F4" s="4">
        <v>344</v>
      </c>
      <c r="G4" s="4">
        <v>290</v>
      </c>
      <c r="H4">
        <v>250</v>
      </c>
      <c r="I4">
        <v>405</v>
      </c>
      <c r="J4">
        <v>390</v>
      </c>
      <c r="K4">
        <v>135</v>
      </c>
      <c r="L4">
        <v>21</v>
      </c>
      <c r="M4">
        <v>11</v>
      </c>
      <c r="N4" s="4">
        <f t="shared" si="0"/>
        <v>2045</v>
      </c>
      <c r="O4" s="4">
        <f t="shared" ref="O4:O8" si="1">SUM(H4:J4)</f>
        <v>1045</v>
      </c>
    </row>
    <row r="5" spans="1:15">
      <c r="A5" s="12">
        <v>0.75</v>
      </c>
      <c r="B5" s="4">
        <v>14</v>
      </c>
      <c r="C5" s="4">
        <v>25</v>
      </c>
      <c r="D5" s="4">
        <v>42</v>
      </c>
      <c r="E5" s="4">
        <v>118</v>
      </c>
      <c r="F5" s="4">
        <v>344</v>
      </c>
      <c r="G5" s="4">
        <v>340</v>
      </c>
      <c r="H5">
        <v>290</v>
      </c>
      <c r="I5">
        <v>475</v>
      </c>
      <c r="J5">
        <v>465</v>
      </c>
      <c r="K5">
        <v>155</v>
      </c>
      <c r="L5">
        <v>29</v>
      </c>
      <c r="M5">
        <v>13</v>
      </c>
      <c r="N5" s="4">
        <f t="shared" si="0"/>
        <v>2310</v>
      </c>
      <c r="O5" s="4">
        <f t="shared" si="1"/>
        <v>1230</v>
      </c>
    </row>
    <row r="6" spans="1:15">
      <c r="A6" s="12">
        <v>0.5</v>
      </c>
      <c r="B6" s="4">
        <v>14</v>
      </c>
      <c r="C6" s="4">
        <v>25</v>
      </c>
      <c r="D6" s="4">
        <v>42</v>
      </c>
      <c r="E6" s="4">
        <v>118</v>
      </c>
      <c r="F6" s="4">
        <v>344</v>
      </c>
      <c r="G6" s="4">
        <v>390</v>
      </c>
      <c r="H6">
        <v>335</v>
      </c>
      <c r="I6">
        <v>545</v>
      </c>
      <c r="J6">
        <v>530</v>
      </c>
      <c r="K6">
        <v>180</v>
      </c>
      <c r="L6">
        <v>32</v>
      </c>
      <c r="M6">
        <v>15</v>
      </c>
      <c r="N6" s="4">
        <f t="shared" si="0"/>
        <v>2570</v>
      </c>
      <c r="O6" s="4">
        <f t="shared" si="1"/>
        <v>1410</v>
      </c>
    </row>
    <row r="7" spans="1:15">
      <c r="A7" s="12">
        <v>0.25</v>
      </c>
      <c r="B7" s="4">
        <v>14</v>
      </c>
      <c r="C7" s="4">
        <v>25</v>
      </c>
      <c r="D7" s="4">
        <v>42</v>
      </c>
      <c r="E7" s="4">
        <v>118</v>
      </c>
      <c r="F7" s="4">
        <v>344</v>
      </c>
      <c r="G7" s="4">
        <v>450</v>
      </c>
      <c r="H7">
        <v>385</v>
      </c>
      <c r="I7">
        <v>625</v>
      </c>
      <c r="J7">
        <v>605</v>
      </c>
      <c r="K7">
        <v>205</v>
      </c>
      <c r="L7">
        <v>40</v>
      </c>
      <c r="M7">
        <v>17</v>
      </c>
      <c r="N7" s="4">
        <f t="shared" si="0"/>
        <v>2870</v>
      </c>
      <c r="O7" s="4">
        <f t="shared" si="1"/>
        <v>1615</v>
      </c>
    </row>
    <row r="8" spans="1:15">
      <c r="A8" s="12">
        <v>0.1</v>
      </c>
      <c r="B8" s="4">
        <v>14</v>
      </c>
      <c r="C8" s="4">
        <v>25</v>
      </c>
      <c r="D8" s="4">
        <v>42</v>
      </c>
      <c r="E8" s="4">
        <v>118</v>
      </c>
      <c r="F8" s="4">
        <v>344</v>
      </c>
      <c r="G8" s="4">
        <v>500</v>
      </c>
      <c r="H8">
        <v>435</v>
      </c>
      <c r="I8">
        <v>705</v>
      </c>
      <c r="J8">
        <v>685</v>
      </c>
      <c r="K8">
        <v>235</v>
      </c>
      <c r="L8">
        <v>48</v>
      </c>
      <c r="M8">
        <v>19</v>
      </c>
      <c r="N8" s="4">
        <f t="shared" si="0"/>
        <v>3170</v>
      </c>
      <c r="O8" s="4">
        <f t="shared" si="1"/>
        <v>1825</v>
      </c>
    </row>
    <row r="9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10" t="s">
        <v>16</v>
      </c>
      <c r="N9" s="7">
        <v>1909</v>
      </c>
      <c r="O9" s="4">
        <v>1193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D7D1-E73A-AE4B-B100-8E0AAA626AA1}">
  <dimension ref="A1:O9"/>
  <sheetViews>
    <sheetView workbookViewId="0">
      <selection activeCell="F11" sqref="F11"/>
    </sheetView>
  </sheetViews>
  <sheetFormatPr baseColWidth="10" defaultRowHeight="16"/>
  <sheetData>
    <row r="1" spans="1:15">
      <c r="A1" s="3" t="s">
        <v>0</v>
      </c>
      <c r="B1" s="3"/>
      <c r="C1" s="3"/>
      <c r="D1" s="3"/>
      <c r="E1" s="3"/>
      <c r="F1" s="3"/>
      <c r="G1" s="12" t="s">
        <v>15</v>
      </c>
      <c r="H1" s="14">
        <v>1.48</v>
      </c>
      <c r="I1" s="4"/>
      <c r="J1" s="4"/>
      <c r="K1" s="4"/>
      <c r="L1" s="4"/>
      <c r="M1" s="4"/>
      <c r="N1" s="4"/>
      <c r="O1" s="4"/>
    </row>
    <row r="2" spans="1:15">
      <c r="A2" s="4"/>
      <c r="B2" s="13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</row>
    <row r="3" spans="1:15">
      <c r="A3" s="11">
        <v>0.99</v>
      </c>
      <c r="B3" s="4">
        <v>14</v>
      </c>
      <c r="C3" s="4">
        <v>25</v>
      </c>
      <c r="D3" s="4">
        <v>42</v>
      </c>
      <c r="E3" s="4">
        <v>118</v>
      </c>
      <c r="F3" s="4">
        <v>344</v>
      </c>
      <c r="G3" s="4">
        <v>365</v>
      </c>
      <c r="H3">
        <v>290</v>
      </c>
      <c r="I3">
        <v>470</v>
      </c>
      <c r="J3">
        <v>440</v>
      </c>
      <c r="K3">
        <v>125</v>
      </c>
      <c r="L3">
        <v>18</v>
      </c>
      <c r="M3">
        <v>10</v>
      </c>
      <c r="N3" s="4">
        <f t="shared" ref="N3:N8" si="0">SUM(B3:M3)</f>
        <v>2261</v>
      </c>
      <c r="O3" s="4">
        <f>SUM(H3:J3)</f>
        <v>1200</v>
      </c>
    </row>
    <row r="4" spans="1:15">
      <c r="A4" s="12">
        <v>0.9</v>
      </c>
      <c r="B4" s="4">
        <v>14</v>
      </c>
      <c r="C4" s="4">
        <v>25</v>
      </c>
      <c r="D4" s="4">
        <v>42</v>
      </c>
      <c r="E4" s="4">
        <v>118</v>
      </c>
      <c r="F4" s="4">
        <v>344</v>
      </c>
      <c r="G4" s="4">
        <v>365</v>
      </c>
      <c r="H4">
        <v>330</v>
      </c>
      <c r="I4">
        <v>535</v>
      </c>
      <c r="J4">
        <v>500</v>
      </c>
      <c r="K4">
        <v>155</v>
      </c>
      <c r="L4">
        <v>25</v>
      </c>
      <c r="M4">
        <v>12</v>
      </c>
      <c r="N4" s="4">
        <f t="shared" si="0"/>
        <v>2465</v>
      </c>
      <c r="O4" s="4">
        <f t="shared" ref="O4:O8" si="1">SUM(H4:J4)</f>
        <v>1365</v>
      </c>
    </row>
    <row r="5" spans="1:15">
      <c r="A5" s="12">
        <v>0.75</v>
      </c>
      <c r="B5" s="4">
        <v>14</v>
      </c>
      <c r="C5" s="4">
        <v>25</v>
      </c>
      <c r="D5" s="4">
        <v>42</v>
      </c>
      <c r="E5" s="4">
        <v>118</v>
      </c>
      <c r="F5" s="4">
        <v>344</v>
      </c>
      <c r="G5" s="4">
        <v>365</v>
      </c>
      <c r="H5">
        <v>360</v>
      </c>
      <c r="I5">
        <v>585</v>
      </c>
      <c r="J5">
        <v>550</v>
      </c>
      <c r="K5">
        <v>200</v>
      </c>
      <c r="L5">
        <v>33</v>
      </c>
      <c r="M5">
        <v>15</v>
      </c>
      <c r="N5" s="4">
        <f t="shared" si="0"/>
        <v>2651</v>
      </c>
      <c r="O5" s="4">
        <f t="shared" si="1"/>
        <v>1495</v>
      </c>
    </row>
    <row r="6" spans="1:15">
      <c r="A6" s="12">
        <v>0.5</v>
      </c>
      <c r="B6" s="4">
        <v>14</v>
      </c>
      <c r="C6" s="4">
        <v>25</v>
      </c>
      <c r="D6" s="4">
        <v>42</v>
      </c>
      <c r="E6" s="4">
        <v>118</v>
      </c>
      <c r="F6" s="4">
        <v>344</v>
      </c>
      <c r="G6" s="4">
        <v>365</v>
      </c>
      <c r="H6">
        <v>390</v>
      </c>
      <c r="I6">
        <v>635</v>
      </c>
      <c r="J6">
        <v>595</v>
      </c>
      <c r="K6">
        <v>240</v>
      </c>
      <c r="L6">
        <v>45</v>
      </c>
      <c r="M6">
        <v>18</v>
      </c>
      <c r="N6" s="4">
        <f t="shared" si="0"/>
        <v>2831</v>
      </c>
      <c r="O6" s="4">
        <f t="shared" si="1"/>
        <v>1620</v>
      </c>
    </row>
    <row r="7" spans="1:15">
      <c r="A7" s="12">
        <v>0.25</v>
      </c>
      <c r="B7" s="4">
        <v>14</v>
      </c>
      <c r="C7" s="4">
        <v>25</v>
      </c>
      <c r="D7" s="4">
        <v>42</v>
      </c>
      <c r="E7" s="4">
        <v>118</v>
      </c>
      <c r="F7" s="4">
        <v>344</v>
      </c>
      <c r="G7" s="4">
        <v>365</v>
      </c>
      <c r="H7">
        <v>430</v>
      </c>
      <c r="I7">
        <v>680</v>
      </c>
      <c r="J7">
        <v>665</v>
      </c>
      <c r="K7">
        <v>285</v>
      </c>
      <c r="L7">
        <v>56</v>
      </c>
      <c r="M7">
        <v>21</v>
      </c>
      <c r="N7" s="4">
        <f t="shared" si="0"/>
        <v>3045</v>
      </c>
      <c r="O7" s="4">
        <f t="shared" si="1"/>
        <v>1775</v>
      </c>
    </row>
    <row r="8" spans="1:15">
      <c r="A8" s="12">
        <v>0.1</v>
      </c>
      <c r="B8" s="4">
        <v>14</v>
      </c>
      <c r="C8" s="4">
        <v>25</v>
      </c>
      <c r="D8" s="4">
        <v>42</v>
      </c>
      <c r="E8" s="4">
        <v>118</v>
      </c>
      <c r="F8" s="4">
        <v>344</v>
      </c>
      <c r="G8" s="4">
        <v>365</v>
      </c>
      <c r="H8">
        <v>470</v>
      </c>
      <c r="I8">
        <v>720</v>
      </c>
      <c r="J8">
        <v>730</v>
      </c>
      <c r="K8">
        <v>330</v>
      </c>
      <c r="L8">
        <v>68</v>
      </c>
      <c r="M8">
        <v>25</v>
      </c>
      <c r="N8" s="4">
        <f t="shared" si="0"/>
        <v>3251</v>
      </c>
      <c r="O8" s="4">
        <f t="shared" si="1"/>
        <v>1920</v>
      </c>
    </row>
    <row r="9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10" t="s">
        <v>16</v>
      </c>
      <c r="N9" s="7">
        <v>1909</v>
      </c>
      <c r="O9" s="4">
        <v>1193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395B-A263-0E46-85D6-4CF72EE4FE32}">
  <dimension ref="A1:O9"/>
  <sheetViews>
    <sheetView tabSelected="1" workbookViewId="0">
      <selection activeCell="G16" sqref="G16"/>
    </sheetView>
  </sheetViews>
  <sheetFormatPr baseColWidth="10" defaultRowHeight="16"/>
  <sheetData>
    <row r="1" spans="1:15">
      <c r="A1" s="3" t="s">
        <v>0</v>
      </c>
      <c r="B1" s="3"/>
      <c r="C1" s="3"/>
      <c r="D1" s="3"/>
      <c r="E1" s="3"/>
      <c r="F1" s="3"/>
      <c r="G1" s="12" t="s">
        <v>15</v>
      </c>
      <c r="H1" s="14">
        <v>1.43</v>
      </c>
      <c r="I1" s="4"/>
      <c r="J1" s="4"/>
      <c r="K1" s="4"/>
      <c r="L1" s="4"/>
      <c r="M1" s="4"/>
      <c r="N1" s="4"/>
      <c r="O1" s="4"/>
    </row>
    <row r="2" spans="1:15">
      <c r="A2" s="4"/>
      <c r="B2" s="13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</row>
    <row r="3" spans="1:15">
      <c r="A3" s="11">
        <v>0.99</v>
      </c>
      <c r="B3" s="4">
        <v>14</v>
      </c>
      <c r="C3" s="4">
        <v>25</v>
      </c>
      <c r="D3" s="4">
        <v>42</v>
      </c>
      <c r="E3" s="4">
        <v>118</v>
      </c>
      <c r="F3" s="4">
        <v>344</v>
      </c>
      <c r="G3" s="4">
        <v>365</v>
      </c>
      <c r="H3" s="4">
        <v>450</v>
      </c>
      <c r="I3">
        <v>455</v>
      </c>
      <c r="J3">
        <v>420</v>
      </c>
      <c r="K3">
        <v>155</v>
      </c>
      <c r="L3">
        <v>23</v>
      </c>
      <c r="M3">
        <v>10</v>
      </c>
      <c r="N3" s="4">
        <f t="shared" ref="N3:N8" si="0">SUM(B3:M3)</f>
        <v>2421</v>
      </c>
      <c r="O3" s="4">
        <f t="shared" ref="O3:O8" si="1">SUM(H3:J3)</f>
        <v>1325</v>
      </c>
    </row>
    <row r="4" spans="1:15">
      <c r="A4" s="12">
        <v>0.9</v>
      </c>
      <c r="B4" s="4">
        <v>14</v>
      </c>
      <c r="C4" s="4">
        <v>25</v>
      </c>
      <c r="D4" s="4">
        <v>42</v>
      </c>
      <c r="E4" s="4">
        <v>118</v>
      </c>
      <c r="F4" s="4">
        <v>344</v>
      </c>
      <c r="G4" s="4">
        <v>365</v>
      </c>
      <c r="H4" s="4">
        <v>450</v>
      </c>
      <c r="I4">
        <v>490</v>
      </c>
      <c r="J4">
        <v>460</v>
      </c>
      <c r="K4">
        <v>170</v>
      </c>
      <c r="L4">
        <v>26</v>
      </c>
      <c r="M4">
        <v>12</v>
      </c>
      <c r="N4" s="4">
        <f t="shared" si="0"/>
        <v>2516</v>
      </c>
      <c r="O4" s="4">
        <f t="shared" si="1"/>
        <v>1400</v>
      </c>
    </row>
    <row r="5" spans="1:15">
      <c r="A5" s="12">
        <v>0.75</v>
      </c>
      <c r="B5" s="4">
        <v>14</v>
      </c>
      <c r="C5" s="4">
        <v>25</v>
      </c>
      <c r="D5" s="4">
        <v>42</v>
      </c>
      <c r="E5" s="4">
        <v>118</v>
      </c>
      <c r="F5" s="4">
        <v>344</v>
      </c>
      <c r="G5" s="4">
        <v>365</v>
      </c>
      <c r="H5" s="4">
        <v>450</v>
      </c>
      <c r="I5">
        <v>535</v>
      </c>
      <c r="J5">
        <v>500</v>
      </c>
      <c r="K5">
        <v>185</v>
      </c>
      <c r="L5">
        <v>30</v>
      </c>
      <c r="M5">
        <v>13</v>
      </c>
      <c r="N5" s="4">
        <f t="shared" si="0"/>
        <v>2621</v>
      </c>
      <c r="O5" s="4">
        <f t="shared" si="1"/>
        <v>1485</v>
      </c>
    </row>
    <row r="6" spans="1:15">
      <c r="A6" s="12">
        <v>0.5</v>
      </c>
      <c r="B6" s="4">
        <v>14</v>
      </c>
      <c r="C6" s="4">
        <v>25</v>
      </c>
      <c r="D6" s="4">
        <v>42</v>
      </c>
      <c r="E6" s="4">
        <v>118</v>
      </c>
      <c r="F6" s="4">
        <v>344</v>
      </c>
      <c r="G6" s="4">
        <v>365</v>
      </c>
      <c r="H6" s="4">
        <v>450</v>
      </c>
      <c r="I6">
        <v>580</v>
      </c>
      <c r="J6">
        <v>540</v>
      </c>
      <c r="K6">
        <v>200</v>
      </c>
      <c r="L6">
        <v>33</v>
      </c>
      <c r="M6">
        <v>15</v>
      </c>
      <c r="N6" s="4">
        <f t="shared" si="0"/>
        <v>2726</v>
      </c>
      <c r="O6" s="4">
        <f t="shared" si="1"/>
        <v>1570</v>
      </c>
    </row>
    <row r="7" spans="1:15">
      <c r="A7" s="12">
        <v>0.25</v>
      </c>
      <c r="B7" s="4">
        <v>14</v>
      </c>
      <c r="C7" s="4">
        <v>25</v>
      </c>
      <c r="D7" s="4">
        <v>42</v>
      </c>
      <c r="E7" s="4">
        <v>118</v>
      </c>
      <c r="F7" s="4">
        <v>344</v>
      </c>
      <c r="G7" s="4">
        <v>365</v>
      </c>
      <c r="H7" s="4">
        <v>450</v>
      </c>
      <c r="I7">
        <v>640</v>
      </c>
      <c r="J7">
        <v>595</v>
      </c>
      <c r="K7">
        <v>220</v>
      </c>
      <c r="L7">
        <v>37</v>
      </c>
      <c r="M7">
        <v>16</v>
      </c>
      <c r="N7" s="4">
        <f t="shared" si="0"/>
        <v>2866</v>
      </c>
      <c r="O7" s="4">
        <f t="shared" si="1"/>
        <v>1685</v>
      </c>
    </row>
    <row r="8" spans="1:15">
      <c r="A8" s="12">
        <v>0.1</v>
      </c>
      <c r="B8" s="4">
        <v>14</v>
      </c>
      <c r="C8" s="4">
        <v>25</v>
      </c>
      <c r="D8" s="4">
        <v>42</v>
      </c>
      <c r="E8" s="4">
        <v>118</v>
      </c>
      <c r="F8" s="4">
        <v>344</v>
      </c>
      <c r="G8" s="4">
        <v>365</v>
      </c>
      <c r="H8" s="4">
        <v>450</v>
      </c>
      <c r="I8">
        <v>700</v>
      </c>
      <c r="J8">
        <v>650</v>
      </c>
      <c r="K8">
        <v>240</v>
      </c>
      <c r="L8">
        <v>40</v>
      </c>
      <c r="M8">
        <v>18</v>
      </c>
      <c r="N8" s="4">
        <f t="shared" si="0"/>
        <v>3006</v>
      </c>
      <c r="O8" s="4">
        <f t="shared" si="1"/>
        <v>1800</v>
      </c>
    </row>
    <row r="9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10" t="s">
        <v>16</v>
      </c>
      <c r="N9" s="7">
        <v>1909</v>
      </c>
      <c r="O9" s="4">
        <v>1193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C57C-FC20-5C40-8A7F-757EF9F27CE1}">
  <dimension ref="A1:O9"/>
  <sheetViews>
    <sheetView workbookViewId="0">
      <selection activeCell="A9" sqref="A1:XFD9"/>
    </sheetView>
  </sheetViews>
  <sheetFormatPr baseColWidth="10" defaultRowHeight="16"/>
  <sheetData>
    <row r="1" spans="1:15">
      <c r="A1" s="3" t="s">
        <v>0</v>
      </c>
      <c r="B1" s="3"/>
      <c r="C1" s="3"/>
      <c r="D1" s="3"/>
      <c r="E1" s="3"/>
      <c r="F1" s="3"/>
      <c r="G1" s="12" t="s">
        <v>15</v>
      </c>
      <c r="H1" s="4"/>
      <c r="I1" s="4"/>
      <c r="J1" s="4"/>
      <c r="K1" s="4"/>
      <c r="L1" s="4"/>
      <c r="M1" s="4"/>
      <c r="N1" s="4"/>
      <c r="O1" s="4"/>
    </row>
    <row r="2" spans="1:15">
      <c r="A2" s="4"/>
      <c r="B2" s="13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</row>
    <row r="3" spans="1:15">
      <c r="A3" s="11">
        <v>0.99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>
        <f>SUM(B3:M3)</f>
        <v>0</v>
      </c>
      <c r="O3" s="4">
        <f>SUM(H3:J3)</f>
        <v>0</v>
      </c>
    </row>
    <row r="4" spans="1:15">
      <c r="A4" s="12">
        <v>0.9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>
        <f t="shared" ref="N4:N8" si="0">SUM(B4:M4)</f>
        <v>0</v>
      </c>
      <c r="O4" s="4">
        <f t="shared" ref="O4:O8" si="1">SUM(H4:J4)</f>
        <v>0</v>
      </c>
    </row>
    <row r="5" spans="1:15">
      <c r="A5" s="12">
        <v>0.75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>
        <f t="shared" si="0"/>
        <v>0</v>
      </c>
      <c r="O5" s="4">
        <f t="shared" si="1"/>
        <v>0</v>
      </c>
    </row>
    <row r="6" spans="1:15">
      <c r="A6" s="12">
        <v>0.5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>
        <f t="shared" si="0"/>
        <v>0</v>
      </c>
      <c r="O6" s="4">
        <f t="shared" si="1"/>
        <v>0</v>
      </c>
    </row>
    <row r="7" spans="1:15">
      <c r="A7" s="12">
        <v>0.25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>
        <f t="shared" si="0"/>
        <v>0</v>
      </c>
      <c r="O7" s="4">
        <f t="shared" si="1"/>
        <v>0</v>
      </c>
    </row>
    <row r="8" spans="1:15">
      <c r="A8" s="12">
        <v>0.1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>
        <f t="shared" si="0"/>
        <v>0</v>
      </c>
      <c r="O8" s="4">
        <f t="shared" si="1"/>
        <v>0</v>
      </c>
    </row>
    <row r="9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10" t="s">
        <v>16</v>
      </c>
      <c r="N9" s="7"/>
      <c r="O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Dec1</vt:lpstr>
      <vt:lpstr>Jan1</vt:lpstr>
      <vt:lpstr>Feb1</vt:lpstr>
      <vt:lpstr>Mar1</vt:lpstr>
      <vt:lpstr>Apr1</vt:lpstr>
      <vt:lpstr>May1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Evelyn Murdoch</dc:creator>
  <cp:lastModifiedBy>Abbey Hill</cp:lastModifiedBy>
  <dcterms:created xsi:type="dcterms:W3CDTF">2021-12-13T19:12:58Z</dcterms:created>
  <dcterms:modified xsi:type="dcterms:W3CDTF">2022-02-01T22:35:21Z</dcterms:modified>
</cp:coreProperties>
</file>