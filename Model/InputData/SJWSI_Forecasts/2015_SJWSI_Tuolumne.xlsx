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dsaybean/Library/Mobile Documents/com~apple~CloudDocs/Documents/UC Davis/GSR/Functional_Flows/Models/Tuolumne_Model_TLG/InputData/SJWSI_Forecasts/"/>
    </mc:Choice>
  </mc:AlternateContent>
  <xr:revisionPtr revIDLastSave="0" documentId="13_ncr:1_{14DC56AE-4826-BA41-BFB2-4B4CA596AADE}" xr6:coauthVersionLast="47" xr6:coauthVersionMax="47" xr10:uidLastSave="{00000000-0000-0000-0000-000000000000}"/>
  <bookViews>
    <workbookView xWindow="3300" yWindow="500" windowWidth="23700" windowHeight="14320" activeTab="2" xr2:uid="{3578BA0C-0428-784E-9DCD-2FF2D0CA4835}"/>
  </bookViews>
  <sheets>
    <sheet name="Dec1" sheetId="9" r:id="rId1"/>
    <sheet name="Jan1" sheetId="2" r:id="rId2"/>
    <sheet name="Feb1" sheetId="3" r:id="rId3"/>
    <sheet name="Mar1" sheetId="4" r:id="rId4"/>
    <sheet name="Apr1" sheetId="5" r:id="rId5"/>
    <sheet name="May1" sheetId="7" r:id="rId6"/>
    <sheet name="templat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" i="3" l="1"/>
  <c r="Q5" i="3"/>
  <c r="Q6" i="3"/>
  <c r="Q7" i="3"/>
  <c r="Q8" i="3"/>
  <c r="Q3" i="3"/>
  <c r="P4" i="3"/>
  <c r="P5" i="3"/>
  <c r="P6" i="3"/>
  <c r="P7" i="3"/>
  <c r="P8" i="3"/>
  <c r="P3" i="3"/>
  <c r="O8" i="9"/>
  <c r="N8" i="9"/>
  <c r="O7" i="9"/>
  <c r="N7" i="9"/>
  <c r="O6" i="9"/>
  <c r="N6" i="9"/>
  <c r="O5" i="9"/>
  <c r="N5" i="9"/>
  <c r="O4" i="9"/>
  <c r="N4" i="9"/>
  <c r="O3" i="9"/>
  <c r="N3" i="9"/>
  <c r="O8" i="3"/>
  <c r="N8" i="3"/>
  <c r="O7" i="3"/>
  <c r="N7" i="3"/>
  <c r="O6" i="3"/>
  <c r="N6" i="3"/>
  <c r="O5" i="3"/>
  <c r="N5" i="3"/>
  <c r="O4" i="3"/>
  <c r="N4" i="3"/>
  <c r="O3" i="3"/>
  <c r="N3" i="3"/>
  <c r="O8" i="2"/>
  <c r="N8" i="2"/>
  <c r="O7" i="2"/>
  <c r="N7" i="2"/>
  <c r="O6" i="2"/>
  <c r="N6" i="2"/>
  <c r="O5" i="2"/>
  <c r="N5" i="2"/>
  <c r="O4" i="2"/>
  <c r="N4" i="2"/>
  <c r="O3" i="2"/>
  <c r="N3" i="2"/>
  <c r="O4" i="7"/>
  <c r="O5" i="7"/>
  <c r="O6" i="7"/>
  <c r="O7" i="7"/>
  <c r="O8" i="7"/>
  <c r="N8" i="7"/>
  <c r="N7" i="7"/>
  <c r="N6" i="7"/>
  <c r="N5" i="7"/>
  <c r="N4" i="7"/>
  <c r="O3" i="7"/>
  <c r="N3" i="7"/>
  <c r="O4" i="5"/>
  <c r="O5" i="5"/>
  <c r="O6" i="5"/>
  <c r="O7" i="5"/>
  <c r="O8" i="5"/>
  <c r="O3" i="5"/>
  <c r="O4" i="4"/>
  <c r="O5" i="4"/>
  <c r="O6" i="4"/>
  <c r="O7" i="4"/>
  <c r="O8" i="4"/>
  <c r="O3" i="4"/>
  <c r="O8" i="6"/>
  <c r="N8" i="6"/>
  <c r="O7" i="6"/>
  <c r="N7" i="6"/>
  <c r="O6" i="6"/>
  <c r="N6" i="6"/>
  <c r="O5" i="6"/>
  <c r="N5" i="6"/>
  <c r="O4" i="6"/>
  <c r="N4" i="6"/>
  <c r="O3" i="6"/>
  <c r="N3" i="6"/>
  <c r="N8" i="5"/>
  <c r="N7" i="5"/>
  <c r="N6" i="5"/>
  <c r="N5" i="5"/>
  <c r="N4" i="5"/>
  <c r="N3" i="5"/>
  <c r="N8" i="4"/>
  <c r="N7" i="4"/>
  <c r="N6" i="4"/>
  <c r="N5" i="4"/>
  <c r="N4" i="4"/>
  <c r="N3" i="4"/>
</calcChain>
</file>

<file path=xl/sharedStrings.xml><?xml version="1.0" encoding="utf-8"?>
<sst xmlns="http://schemas.openxmlformats.org/spreadsheetml/2006/main" count="134" uniqueCount="29">
  <si>
    <t xml:space="preserve">Tuolumne River below La Grange Reservoir Unimpaired Flow [taf] </t>
  </si>
  <si>
    <t>WY %Avg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</si>
  <si>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</si>
  <si>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</si>
  <si>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</si>
  <si>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</si>
  <si>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</si>
  <si>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</si>
  <si>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</si>
  <si>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</si>
  <si>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</si>
  <si>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</si>
  <si>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</si>
  <si>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</si>
  <si>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WY</t>
  </si>
  <si>
    <t>Apr-Jun</t>
  </si>
  <si>
    <t xml:space="preserve">1966-2015 avg </t>
  </si>
  <si>
    <t>from</t>
  </si>
  <si>
    <t xml:space="preserve">from </t>
  </si>
  <si>
    <t xml:space="preserve">1961-2010 avg </t>
  </si>
  <si>
    <t>141201SJWSI.pdf</t>
  </si>
  <si>
    <t>150101SJWSI.pdf</t>
  </si>
  <si>
    <t>150201SJWSI.pdf</t>
  </si>
  <si>
    <t>150301SJWSI.pdf</t>
  </si>
  <si>
    <t>150401SJWSI.pdf</t>
  </si>
  <si>
    <t>150501SJWSI.pdf</t>
  </si>
  <si>
    <t>Feb-June</t>
  </si>
  <si>
    <t>40F-J</t>
  </si>
  <si>
    <t>Flow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</si>
</sst>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9"/>
      <color rgb="FF000000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B437A-97E3-0247-9855-6844CD0BABC0}">
  <dimension ref="A1:O17"/>
  <sheetViews>
    <sheetView workbookViewId="0">
      <selection activeCell="B3" sqref="B3:C8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3</v>
      </c>
      <c r="C3" s="3">
        <v>9</v>
      </c>
      <c r="D3" s="3">
        <v>14</v>
      </c>
      <c r="E3" s="3">
        <v>18</v>
      </c>
      <c r="F3" s="3">
        <v>31</v>
      </c>
      <c r="G3" s="3">
        <v>50</v>
      </c>
      <c r="H3" s="3">
        <v>89</v>
      </c>
      <c r="I3" s="3">
        <v>115</v>
      </c>
      <c r="J3" s="3">
        <v>52</v>
      </c>
      <c r="K3" s="3">
        <v>11</v>
      </c>
      <c r="L3" s="3">
        <v>4</v>
      </c>
      <c r="M3" s="3">
        <v>3</v>
      </c>
      <c r="N3" s="3">
        <f t="shared" ref="N3:N7" si="0">SUM(B3:M3)</f>
        <v>399</v>
      </c>
      <c r="O3" s="3">
        <f>SUM(H3:J3)</f>
        <v>256</v>
      </c>
    </row>
    <row r="4" spans="1:15">
      <c r="A4" s="2">
        <v>0.9</v>
      </c>
      <c r="B4" s="3">
        <v>3</v>
      </c>
      <c r="C4" s="3">
        <v>9</v>
      </c>
      <c r="D4" s="3">
        <v>21</v>
      </c>
      <c r="E4" s="3">
        <v>30</v>
      </c>
      <c r="F4" s="3">
        <v>54</v>
      </c>
      <c r="G4" s="3">
        <v>84</v>
      </c>
      <c r="H4" s="3">
        <v>148</v>
      </c>
      <c r="I4" s="3">
        <v>188</v>
      </c>
      <c r="J4" s="3">
        <v>88</v>
      </c>
      <c r="K4" s="3">
        <v>20</v>
      </c>
      <c r="L4" s="3">
        <v>8</v>
      </c>
      <c r="M4" s="3">
        <v>6</v>
      </c>
      <c r="N4" s="3">
        <f t="shared" si="0"/>
        <v>659</v>
      </c>
      <c r="O4" s="3">
        <f t="shared" ref="O4:O8" si="1">SUM(H4:J4)</f>
        <v>424</v>
      </c>
    </row>
    <row r="5" spans="1:15">
      <c r="A5" s="2">
        <v>0.75</v>
      </c>
      <c r="B5" s="3">
        <v>3</v>
      </c>
      <c r="C5" s="3">
        <v>9</v>
      </c>
      <c r="D5" s="3">
        <v>31</v>
      </c>
      <c r="E5" s="3">
        <v>46</v>
      </c>
      <c r="F5" s="3">
        <v>81</v>
      </c>
      <c r="G5" s="3">
        <v>127</v>
      </c>
      <c r="H5" s="3">
        <v>180</v>
      </c>
      <c r="I5" s="3">
        <v>268</v>
      </c>
      <c r="J5" s="3">
        <v>154</v>
      </c>
      <c r="K5" s="3">
        <v>30</v>
      </c>
      <c r="L5" s="3">
        <v>11</v>
      </c>
      <c r="M5" s="3">
        <v>10</v>
      </c>
      <c r="N5" s="3">
        <f t="shared" si="0"/>
        <v>950</v>
      </c>
      <c r="O5" s="3">
        <f t="shared" si="1"/>
        <v>602</v>
      </c>
    </row>
    <row r="6" spans="1:15">
      <c r="A6" s="2">
        <v>0.5</v>
      </c>
      <c r="B6" s="3">
        <v>3</v>
      </c>
      <c r="C6" s="3">
        <v>9</v>
      </c>
      <c r="D6" s="3">
        <v>63</v>
      </c>
      <c r="E6" s="3">
        <v>93</v>
      </c>
      <c r="F6" s="3">
        <v>130</v>
      </c>
      <c r="G6" s="3">
        <v>170</v>
      </c>
      <c r="H6" s="3">
        <v>220</v>
      </c>
      <c r="I6" s="3">
        <v>343</v>
      </c>
      <c r="J6" s="3">
        <v>253</v>
      </c>
      <c r="K6" s="3">
        <v>67</v>
      </c>
      <c r="L6" s="3">
        <v>23</v>
      </c>
      <c r="M6" s="3">
        <v>16</v>
      </c>
      <c r="N6" s="3">
        <f t="shared" si="0"/>
        <v>1390</v>
      </c>
      <c r="O6" s="3">
        <f t="shared" si="1"/>
        <v>816</v>
      </c>
    </row>
    <row r="7" spans="1:15">
      <c r="A7" s="2">
        <v>0.25</v>
      </c>
      <c r="B7" s="3">
        <v>3</v>
      </c>
      <c r="C7" s="3">
        <v>9</v>
      </c>
      <c r="D7" s="3">
        <v>115</v>
      </c>
      <c r="E7" s="3">
        <v>170</v>
      </c>
      <c r="F7" s="3">
        <v>172</v>
      </c>
      <c r="G7" s="3">
        <v>207</v>
      </c>
      <c r="H7" s="3">
        <v>249</v>
      </c>
      <c r="I7" s="3">
        <v>432</v>
      </c>
      <c r="J7" s="3">
        <v>368</v>
      </c>
      <c r="K7" s="3">
        <v>124</v>
      </c>
      <c r="L7" s="3">
        <v>35</v>
      </c>
      <c r="M7" s="3">
        <v>21</v>
      </c>
      <c r="N7" s="3">
        <f t="shared" si="0"/>
        <v>1905</v>
      </c>
      <c r="O7" s="3">
        <f t="shared" si="1"/>
        <v>1049</v>
      </c>
    </row>
    <row r="8" spans="1:15">
      <c r="A8" s="2">
        <v>0.1</v>
      </c>
      <c r="B8" s="3">
        <v>3</v>
      </c>
      <c r="C8" s="3">
        <v>9</v>
      </c>
      <c r="D8" s="3">
        <v>159</v>
      </c>
      <c r="E8" s="3">
        <v>273</v>
      </c>
      <c r="F8" s="3">
        <v>221</v>
      </c>
      <c r="G8" s="3">
        <v>273</v>
      </c>
      <c r="H8" s="3">
        <v>309</v>
      </c>
      <c r="I8" s="3">
        <v>515</v>
      </c>
      <c r="J8" s="3">
        <v>510</v>
      </c>
      <c r="K8" s="3">
        <v>248</v>
      </c>
      <c r="L8" s="3">
        <v>54</v>
      </c>
      <c r="M8" s="3">
        <v>25</v>
      </c>
      <c r="N8" s="3">
        <f>SUM(B8:M8)</f>
        <v>2599</v>
      </c>
      <c r="O8" s="3">
        <f t="shared" si="1"/>
        <v>1334</v>
      </c>
    </row>
    <row r="9" spans="1:15">
      <c r="A9" s="3"/>
      <c r="B9" s="3"/>
      <c r="C9" s="3"/>
      <c r="D9" s="3"/>
      <c r="E9" s="3"/>
      <c r="F9" s="3"/>
      <c r="G9" s="3"/>
      <c r="K9" s="3"/>
      <c r="L9" s="3"/>
      <c r="M9" s="6" t="s">
        <v>19</v>
      </c>
      <c r="N9" s="6">
        <v>1943</v>
      </c>
      <c r="O9" s="2">
        <v>1221</v>
      </c>
    </row>
    <row r="10" spans="1:15">
      <c r="B10" t="s">
        <v>17</v>
      </c>
      <c r="C10" t="s">
        <v>20</v>
      </c>
    </row>
    <row r="17" ht="13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D2C1-E28E-B040-AA05-2812CA44AD7B}">
  <dimension ref="A1:O10"/>
  <sheetViews>
    <sheetView workbookViewId="0">
      <selection activeCell="B3" sqref="B3:D8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3</v>
      </c>
      <c r="C3" s="3">
        <v>9</v>
      </c>
      <c r="D3" s="3">
        <v>69</v>
      </c>
      <c r="E3" s="3">
        <v>21</v>
      </c>
      <c r="F3" s="3">
        <v>36</v>
      </c>
      <c r="G3" s="3">
        <v>58</v>
      </c>
      <c r="H3" s="3">
        <v>92</v>
      </c>
      <c r="I3" s="3">
        <v>130</v>
      </c>
      <c r="J3" s="3">
        <v>45</v>
      </c>
      <c r="K3" s="3">
        <v>13</v>
      </c>
      <c r="L3" s="3">
        <v>5</v>
      </c>
      <c r="M3" s="3">
        <v>4</v>
      </c>
      <c r="N3" s="3">
        <f>SUM(B3:M3)</f>
        <v>485</v>
      </c>
      <c r="O3" s="3">
        <f>SUM(H3:J3)</f>
        <v>267</v>
      </c>
    </row>
    <row r="4" spans="1:15">
      <c r="A4" s="2">
        <v>0.9</v>
      </c>
      <c r="B4" s="3">
        <v>3</v>
      </c>
      <c r="C4" s="3">
        <v>9</v>
      </c>
      <c r="D4" s="3">
        <v>69</v>
      </c>
      <c r="E4" s="3">
        <v>31</v>
      </c>
      <c r="F4" s="3">
        <v>55</v>
      </c>
      <c r="G4" s="3">
        <v>85</v>
      </c>
      <c r="H4" s="3">
        <v>125</v>
      </c>
      <c r="I4" s="3">
        <v>189</v>
      </c>
      <c r="J4" s="3">
        <v>100</v>
      </c>
      <c r="K4" s="3">
        <v>21</v>
      </c>
      <c r="L4" s="3">
        <v>8</v>
      </c>
      <c r="M4" s="3">
        <v>6</v>
      </c>
      <c r="N4" s="3">
        <f t="shared" ref="N4:N8" si="0">SUM(B4:M4)</f>
        <v>701</v>
      </c>
      <c r="O4" s="3">
        <f t="shared" ref="O4:O8" si="1">SUM(H4:J4)</f>
        <v>414</v>
      </c>
    </row>
    <row r="5" spans="1:15">
      <c r="A5" s="2">
        <v>0.75</v>
      </c>
      <c r="B5" s="3">
        <v>3</v>
      </c>
      <c r="C5" s="3">
        <v>9</v>
      </c>
      <c r="D5" s="3">
        <v>69</v>
      </c>
      <c r="E5" s="3">
        <v>60</v>
      </c>
      <c r="F5" s="3">
        <v>85</v>
      </c>
      <c r="G5" s="3">
        <v>120</v>
      </c>
      <c r="H5" s="3">
        <v>165</v>
      </c>
      <c r="I5" s="3">
        <v>250</v>
      </c>
      <c r="J5" s="3">
        <v>160</v>
      </c>
      <c r="K5" s="3">
        <v>37</v>
      </c>
      <c r="L5" s="3">
        <v>12</v>
      </c>
      <c r="M5" s="3">
        <v>10</v>
      </c>
      <c r="N5" s="3">
        <f t="shared" si="0"/>
        <v>980</v>
      </c>
      <c r="O5" s="3">
        <f t="shared" si="1"/>
        <v>575</v>
      </c>
    </row>
    <row r="6" spans="1:15">
      <c r="A6" s="2">
        <v>0.5</v>
      </c>
      <c r="B6" s="3">
        <v>3</v>
      </c>
      <c r="C6" s="3">
        <v>9</v>
      </c>
      <c r="D6" s="3">
        <v>69</v>
      </c>
      <c r="E6" s="3">
        <v>99</v>
      </c>
      <c r="F6" s="3">
        <v>124</v>
      </c>
      <c r="G6" s="3">
        <v>155</v>
      </c>
      <c r="H6" s="3">
        <v>201</v>
      </c>
      <c r="I6" s="3">
        <v>361</v>
      </c>
      <c r="J6" s="3">
        <v>267</v>
      </c>
      <c r="K6" s="3">
        <v>71</v>
      </c>
      <c r="L6" s="3">
        <v>24</v>
      </c>
      <c r="M6" s="3">
        <v>16</v>
      </c>
      <c r="N6" s="3">
        <f t="shared" si="0"/>
        <v>1399</v>
      </c>
      <c r="O6" s="3">
        <f t="shared" si="1"/>
        <v>829</v>
      </c>
    </row>
    <row r="7" spans="1:15">
      <c r="A7" s="2">
        <v>0.25</v>
      </c>
      <c r="B7" s="3">
        <v>3</v>
      </c>
      <c r="C7" s="3">
        <v>9</v>
      </c>
      <c r="D7" s="3">
        <v>69</v>
      </c>
      <c r="E7" s="3">
        <v>159</v>
      </c>
      <c r="F7" s="3">
        <v>166</v>
      </c>
      <c r="G7" s="3">
        <v>201</v>
      </c>
      <c r="H7" s="3">
        <v>260</v>
      </c>
      <c r="I7" s="3">
        <v>428</v>
      </c>
      <c r="J7" s="3">
        <v>356</v>
      </c>
      <c r="K7" s="3">
        <v>115</v>
      </c>
      <c r="L7" s="3">
        <v>34</v>
      </c>
      <c r="M7" s="3">
        <v>21</v>
      </c>
      <c r="N7" s="3">
        <f t="shared" si="0"/>
        <v>1821</v>
      </c>
      <c r="O7" s="3">
        <f t="shared" si="1"/>
        <v>1044</v>
      </c>
    </row>
    <row r="8" spans="1:15">
      <c r="A8" s="2">
        <v>0.1</v>
      </c>
      <c r="B8" s="3">
        <v>3</v>
      </c>
      <c r="C8" s="3">
        <v>9</v>
      </c>
      <c r="D8" s="3">
        <v>69</v>
      </c>
      <c r="E8" s="3">
        <v>220</v>
      </c>
      <c r="F8" s="3">
        <v>217</v>
      </c>
      <c r="G8" s="3">
        <v>263</v>
      </c>
      <c r="H8" s="3">
        <v>301</v>
      </c>
      <c r="I8" s="3">
        <v>565</v>
      </c>
      <c r="J8" s="3">
        <v>487</v>
      </c>
      <c r="K8" s="3">
        <v>215</v>
      </c>
      <c r="L8" s="3">
        <v>50</v>
      </c>
      <c r="M8" s="3">
        <v>25</v>
      </c>
      <c r="N8" s="3">
        <f t="shared" si="0"/>
        <v>2424</v>
      </c>
      <c r="O8" s="3">
        <f t="shared" si="1"/>
        <v>1353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19</v>
      </c>
      <c r="N9" s="6">
        <v>1943</v>
      </c>
      <c r="O9" s="2">
        <v>1221</v>
      </c>
    </row>
    <row r="10" spans="1:15">
      <c r="B10" t="s">
        <v>18</v>
      </c>
      <c r="C10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85276-B178-A840-9C79-E301C6AF7803}">
  <dimension ref="A1:R17"/>
  <sheetViews>
    <sheetView tabSelected="1" topLeftCell="B2" workbookViewId="0">
      <selection activeCell="R3" sqref="R3"/>
    </sheetView>
  </sheetViews>
  <sheetFormatPr baseColWidth="10" defaultRowHeight="16"/>
  <sheetData>
    <row r="1" spans="1:18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8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26</v>
      </c>
      <c r="Q2" s="2" t="s">
        <v>27</v>
      </c>
      <c r="R2" s="2" t="s">
        <v>28</v>
      </c>
    </row>
    <row r="3" spans="1:18">
      <c r="A3" s="5">
        <v>0.99</v>
      </c>
      <c r="B3" s="3">
        <v>3</v>
      </c>
      <c r="C3" s="3">
        <v>9</v>
      </c>
      <c r="D3" s="3">
        <v>69</v>
      </c>
      <c r="E3" s="3">
        <v>25</v>
      </c>
      <c r="F3" s="3">
        <v>16</v>
      </c>
      <c r="G3" s="3">
        <v>27</v>
      </c>
      <c r="H3" s="3">
        <v>49</v>
      </c>
      <c r="I3" s="3">
        <v>63</v>
      </c>
      <c r="J3" s="3">
        <v>29</v>
      </c>
      <c r="K3" s="3">
        <v>6</v>
      </c>
      <c r="L3" s="3">
        <v>2</v>
      </c>
      <c r="M3" s="3">
        <v>1</v>
      </c>
      <c r="N3" s="3">
        <f t="shared" ref="N3:N7" si="0">SUM(B3:M3)</f>
        <v>299</v>
      </c>
      <c r="O3" s="3">
        <f>SUM(H3:J3)</f>
        <v>141</v>
      </c>
      <c r="P3">
        <f>SUM(F3:J3)</f>
        <v>184</v>
      </c>
      <c r="Q3">
        <f>P3*0.4</f>
        <v>73.600000000000009</v>
      </c>
    </row>
    <row r="4" spans="1:18">
      <c r="A4" s="2">
        <v>0.9</v>
      </c>
      <c r="B4" s="3">
        <v>3</v>
      </c>
      <c r="C4" s="3">
        <v>9</v>
      </c>
      <c r="D4" s="3">
        <v>69</v>
      </c>
      <c r="E4" s="3">
        <v>25</v>
      </c>
      <c r="F4" s="3">
        <v>34</v>
      </c>
      <c r="G4" s="3">
        <v>54</v>
      </c>
      <c r="H4" s="3">
        <v>90</v>
      </c>
      <c r="I4" s="3">
        <v>115</v>
      </c>
      <c r="J4" s="3">
        <v>55</v>
      </c>
      <c r="K4" s="3">
        <v>10</v>
      </c>
      <c r="L4" s="3">
        <v>5</v>
      </c>
      <c r="M4" s="3">
        <v>2</v>
      </c>
      <c r="N4" s="3">
        <f t="shared" si="0"/>
        <v>471</v>
      </c>
      <c r="O4" s="3">
        <f t="shared" ref="O4:O8" si="1">SUM(H4:J4)</f>
        <v>260</v>
      </c>
      <c r="P4">
        <f t="shared" ref="P4:P8" si="2">SUM(F4:J4)</f>
        <v>348</v>
      </c>
      <c r="Q4">
        <f t="shared" ref="Q4:Q8" si="3">P4*0.4</f>
        <v>139.20000000000002</v>
      </c>
    </row>
    <row r="5" spans="1:18">
      <c r="A5" s="2">
        <v>0.75</v>
      </c>
      <c r="B5" s="3">
        <v>3</v>
      </c>
      <c r="C5" s="3">
        <v>9</v>
      </c>
      <c r="D5" s="3">
        <v>69</v>
      </c>
      <c r="E5" s="3">
        <v>25</v>
      </c>
      <c r="F5" s="3">
        <v>55</v>
      </c>
      <c r="G5" s="3">
        <v>86</v>
      </c>
      <c r="H5" s="3">
        <v>150</v>
      </c>
      <c r="I5" s="3">
        <v>191</v>
      </c>
      <c r="J5" s="3">
        <v>95</v>
      </c>
      <c r="K5" s="3">
        <v>18</v>
      </c>
      <c r="L5" s="3">
        <v>7</v>
      </c>
      <c r="M5" s="3">
        <v>3</v>
      </c>
      <c r="N5" s="3">
        <f t="shared" si="0"/>
        <v>711</v>
      </c>
      <c r="O5" s="3">
        <f t="shared" si="1"/>
        <v>436</v>
      </c>
      <c r="P5">
        <f t="shared" si="2"/>
        <v>577</v>
      </c>
      <c r="Q5">
        <f t="shared" si="3"/>
        <v>230.8</v>
      </c>
    </row>
    <row r="6" spans="1:18">
      <c r="A6" s="2">
        <v>0.5</v>
      </c>
      <c r="B6" s="3">
        <v>3</v>
      </c>
      <c r="C6" s="3">
        <v>9</v>
      </c>
      <c r="D6" s="3">
        <v>69</v>
      </c>
      <c r="E6" s="3">
        <v>25</v>
      </c>
      <c r="F6" s="3">
        <v>93</v>
      </c>
      <c r="G6" s="3">
        <v>130</v>
      </c>
      <c r="H6" s="3">
        <v>190</v>
      </c>
      <c r="I6" s="3">
        <v>290</v>
      </c>
      <c r="J6" s="3">
        <v>135</v>
      </c>
      <c r="K6" s="3">
        <v>25</v>
      </c>
      <c r="L6" s="3">
        <v>8</v>
      </c>
      <c r="M6" s="3">
        <v>3</v>
      </c>
      <c r="N6" s="3">
        <f t="shared" si="0"/>
        <v>980</v>
      </c>
      <c r="O6" s="3">
        <f t="shared" si="1"/>
        <v>615</v>
      </c>
      <c r="P6">
        <f t="shared" si="2"/>
        <v>838</v>
      </c>
      <c r="Q6">
        <f t="shared" si="3"/>
        <v>335.20000000000005</v>
      </c>
    </row>
    <row r="7" spans="1:18">
      <c r="A7" s="2">
        <v>0.25</v>
      </c>
      <c r="B7" s="3">
        <v>3</v>
      </c>
      <c r="C7" s="3">
        <v>9</v>
      </c>
      <c r="D7" s="3">
        <v>69</v>
      </c>
      <c r="E7" s="3">
        <v>25</v>
      </c>
      <c r="F7" s="3">
        <v>124</v>
      </c>
      <c r="G7" s="3">
        <v>175</v>
      </c>
      <c r="H7" s="3">
        <v>250</v>
      </c>
      <c r="I7" s="3">
        <v>400</v>
      </c>
      <c r="J7" s="3">
        <v>300</v>
      </c>
      <c r="K7" s="3">
        <v>85</v>
      </c>
      <c r="L7" s="3">
        <v>20</v>
      </c>
      <c r="M7" s="3">
        <v>10</v>
      </c>
      <c r="N7" s="3">
        <f t="shared" si="0"/>
        <v>1470</v>
      </c>
      <c r="O7" s="3">
        <f t="shared" si="1"/>
        <v>950</v>
      </c>
      <c r="P7">
        <f t="shared" si="2"/>
        <v>1249</v>
      </c>
      <c r="Q7">
        <f t="shared" si="3"/>
        <v>499.6</v>
      </c>
    </row>
    <row r="8" spans="1:18">
      <c r="A8" s="2">
        <v>0.1</v>
      </c>
      <c r="B8" s="3">
        <v>3</v>
      </c>
      <c r="C8" s="3">
        <v>9</v>
      </c>
      <c r="D8" s="3">
        <v>69</v>
      </c>
      <c r="E8" s="3">
        <v>25</v>
      </c>
      <c r="F8" s="3">
        <v>159</v>
      </c>
      <c r="G8" s="3">
        <v>220</v>
      </c>
      <c r="H8" s="3">
        <v>310</v>
      </c>
      <c r="I8" s="3">
        <v>520</v>
      </c>
      <c r="J8" s="3">
        <v>460</v>
      </c>
      <c r="K8" s="3">
        <v>140</v>
      </c>
      <c r="L8" s="3">
        <v>50</v>
      </c>
      <c r="M8" s="3">
        <v>15</v>
      </c>
      <c r="N8" s="3">
        <f>SUM(B8:M8)</f>
        <v>1980</v>
      </c>
      <c r="O8" s="3">
        <f t="shared" si="1"/>
        <v>1290</v>
      </c>
      <c r="P8">
        <f t="shared" si="2"/>
        <v>1669</v>
      </c>
      <c r="Q8">
        <f t="shared" si="3"/>
        <v>667.6</v>
      </c>
    </row>
    <row r="9" spans="1:18">
      <c r="A9" s="3"/>
      <c r="B9" s="3"/>
      <c r="C9" s="3"/>
      <c r="D9" s="3"/>
      <c r="E9" s="3"/>
      <c r="F9" s="3"/>
      <c r="G9" s="3"/>
      <c r="K9" s="3"/>
      <c r="L9" s="3"/>
      <c r="M9" s="6" t="s">
        <v>19</v>
      </c>
      <c r="N9" s="6">
        <v>1943</v>
      </c>
      <c r="O9" s="2">
        <v>1221</v>
      </c>
    </row>
    <row r="10" spans="1:18">
      <c r="B10" t="s">
        <v>17</v>
      </c>
      <c r="C10" t="s">
        <v>22</v>
      </c>
    </row>
    <row r="17" ht="13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A572-B24C-0C4B-96BF-A476FD3F508A}">
  <dimension ref="A1:O10"/>
  <sheetViews>
    <sheetView workbookViewId="0">
      <selection activeCell="B3" sqref="B3:F8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3</v>
      </c>
      <c r="C3" s="3">
        <v>9</v>
      </c>
      <c r="D3" s="3">
        <v>69</v>
      </c>
      <c r="E3" s="3">
        <v>25</v>
      </c>
      <c r="F3" s="3">
        <v>114</v>
      </c>
      <c r="G3" s="3">
        <v>34</v>
      </c>
      <c r="H3" s="3">
        <v>61</v>
      </c>
      <c r="I3" s="3">
        <v>79</v>
      </c>
      <c r="J3" s="3">
        <v>36</v>
      </c>
      <c r="K3" s="3">
        <v>5</v>
      </c>
      <c r="L3" s="3">
        <v>0</v>
      </c>
      <c r="M3" s="3">
        <v>0</v>
      </c>
      <c r="N3" s="3">
        <f t="shared" ref="N3:N8" si="0">SUM(B3:M3)</f>
        <v>435</v>
      </c>
      <c r="O3" s="3">
        <f>SUM(H3:J3)</f>
        <v>176</v>
      </c>
    </row>
    <row r="4" spans="1:15">
      <c r="A4" s="2">
        <v>0.9</v>
      </c>
      <c r="B4" s="3">
        <v>3</v>
      </c>
      <c r="C4" s="3">
        <v>9</v>
      </c>
      <c r="D4" s="3">
        <v>69</v>
      </c>
      <c r="E4" s="3">
        <v>25</v>
      </c>
      <c r="F4" s="3">
        <v>114</v>
      </c>
      <c r="G4" s="3">
        <v>69</v>
      </c>
      <c r="H4" s="3">
        <v>84</v>
      </c>
      <c r="I4" s="3">
        <v>110</v>
      </c>
      <c r="J4" s="3">
        <v>48</v>
      </c>
      <c r="K4" s="3">
        <v>8</v>
      </c>
      <c r="L4" s="3">
        <v>1</v>
      </c>
      <c r="M4" s="3">
        <v>0</v>
      </c>
      <c r="N4" s="3">
        <f t="shared" si="0"/>
        <v>540</v>
      </c>
      <c r="O4" s="3">
        <f t="shared" ref="O4:O8" si="1">SUM(H4:J4)</f>
        <v>242</v>
      </c>
    </row>
    <row r="5" spans="1:15">
      <c r="A5" s="2">
        <v>0.75</v>
      </c>
      <c r="B5" s="3">
        <v>3</v>
      </c>
      <c r="C5" s="3">
        <v>9</v>
      </c>
      <c r="D5" s="3">
        <v>69</v>
      </c>
      <c r="E5" s="3">
        <v>25</v>
      </c>
      <c r="F5" s="3">
        <v>114</v>
      </c>
      <c r="G5" s="3">
        <v>90</v>
      </c>
      <c r="H5" s="3">
        <v>118</v>
      </c>
      <c r="I5" s="3">
        <v>150</v>
      </c>
      <c r="J5" s="3">
        <v>65</v>
      </c>
      <c r="K5" s="3">
        <v>13</v>
      </c>
      <c r="L5" s="3">
        <v>3</v>
      </c>
      <c r="M5" s="3">
        <v>1</v>
      </c>
      <c r="N5" s="3">
        <f t="shared" si="0"/>
        <v>660</v>
      </c>
      <c r="O5" s="3">
        <f t="shared" si="1"/>
        <v>333</v>
      </c>
    </row>
    <row r="6" spans="1:15">
      <c r="A6" s="2">
        <v>0.5</v>
      </c>
      <c r="B6" s="3">
        <v>3</v>
      </c>
      <c r="C6" s="3">
        <v>9</v>
      </c>
      <c r="D6" s="3">
        <v>69</v>
      </c>
      <c r="E6" s="3">
        <v>25</v>
      </c>
      <c r="F6" s="3">
        <v>114</v>
      </c>
      <c r="G6" s="3">
        <v>130</v>
      </c>
      <c r="H6" s="3">
        <v>160</v>
      </c>
      <c r="I6" s="3">
        <v>205</v>
      </c>
      <c r="J6" s="3">
        <v>80</v>
      </c>
      <c r="K6" s="3">
        <v>15</v>
      </c>
      <c r="L6" s="3">
        <v>4</v>
      </c>
      <c r="M6" s="3">
        <v>1</v>
      </c>
      <c r="N6" s="3">
        <f t="shared" si="0"/>
        <v>815</v>
      </c>
      <c r="O6" s="3">
        <f t="shared" si="1"/>
        <v>445</v>
      </c>
    </row>
    <row r="7" spans="1:15">
      <c r="A7" s="2">
        <v>0.25</v>
      </c>
      <c r="B7" s="3">
        <v>3</v>
      </c>
      <c r="C7" s="3">
        <v>9</v>
      </c>
      <c r="D7" s="3">
        <v>69</v>
      </c>
      <c r="E7" s="3">
        <v>25</v>
      </c>
      <c r="F7" s="3">
        <v>114</v>
      </c>
      <c r="G7" s="3">
        <v>160</v>
      </c>
      <c r="H7" s="3">
        <v>210</v>
      </c>
      <c r="I7" s="3">
        <v>271</v>
      </c>
      <c r="J7" s="3">
        <v>170</v>
      </c>
      <c r="K7" s="3">
        <v>36</v>
      </c>
      <c r="L7" s="3">
        <v>13</v>
      </c>
      <c r="M7" s="3">
        <v>5</v>
      </c>
      <c r="N7" s="3">
        <f t="shared" si="0"/>
        <v>1085</v>
      </c>
      <c r="O7" s="3">
        <f t="shared" si="1"/>
        <v>651</v>
      </c>
    </row>
    <row r="8" spans="1:15">
      <c r="A8" s="2">
        <v>0.1</v>
      </c>
      <c r="B8" s="3">
        <v>3</v>
      </c>
      <c r="C8" s="3">
        <v>9</v>
      </c>
      <c r="D8" s="3">
        <v>69</v>
      </c>
      <c r="E8" s="3">
        <v>25</v>
      </c>
      <c r="F8" s="3">
        <v>114</v>
      </c>
      <c r="G8" s="3">
        <v>195</v>
      </c>
      <c r="H8" s="3">
        <v>275</v>
      </c>
      <c r="I8" s="3">
        <v>360</v>
      </c>
      <c r="J8" s="3">
        <v>260</v>
      </c>
      <c r="K8" s="3">
        <v>55</v>
      </c>
      <c r="L8" s="3">
        <v>17</v>
      </c>
      <c r="M8" s="3">
        <v>8</v>
      </c>
      <c r="N8" s="3">
        <f t="shared" si="0"/>
        <v>1390</v>
      </c>
      <c r="O8" s="3">
        <f t="shared" si="1"/>
        <v>895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19</v>
      </c>
      <c r="N9" s="6">
        <v>1943</v>
      </c>
      <c r="O9" s="2">
        <v>1221</v>
      </c>
    </row>
    <row r="10" spans="1:15">
      <c r="B10" t="s">
        <v>17</v>
      </c>
      <c r="C10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3FD50-5289-0B40-9FAD-BE3E07A006C9}">
  <dimension ref="A1:O10"/>
  <sheetViews>
    <sheetView workbookViewId="0">
      <selection activeCell="B3" sqref="B3:G8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3</v>
      </c>
      <c r="C3" s="3">
        <v>9</v>
      </c>
      <c r="D3" s="3">
        <v>69</v>
      </c>
      <c r="E3" s="3">
        <v>25</v>
      </c>
      <c r="F3" s="3">
        <v>114</v>
      </c>
      <c r="G3" s="3">
        <v>57</v>
      </c>
      <c r="H3" s="3">
        <v>48</v>
      </c>
      <c r="I3" s="3">
        <v>61</v>
      </c>
      <c r="J3" s="3">
        <v>15</v>
      </c>
      <c r="K3" s="3">
        <v>4</v>
      </c>
      <c r="L3" s="3">
        <v>0</v>
      </c>
      <c r="M3" s="3">
        <v>0</v>
      </c>
      <c r="N3" s="3">
        <f t="shared" ref="N3:N8" si="0">SUM(B3:M3)</f>
        <v>405</v>
      </c>
      <c r="O3" s="3">
        <f>SUM(H3:J3)</f>
        <v>124</v>
      </c>
    </row>
    <row r="4" spans="1:15">
      <c r="A4" s="2">
        <v>0.9</v>
      </c>
      <c r="B4" s="3">
        <v>3</v>
      </c>
      <c r="C4" s="3">
        <v>9</v>
      </c>
      <c r="D4" s="3">
        <v>69</v>
      </c>
      <c r="E4" s="3">
        <v>25</v>
      </c>
      <c r="F4" s="3">
        <v>114</v>
      </c>
      <c r="G4" s="3">
        <v>57</v>
      </c>
      <c r="H4" s="3">
        <v>63</v>
      </c>
      <c r="I4" s="3">
        <v>86</v>
      </c>
      <c r="J4" s="3">
        <v>20</v>
      </c>
      <c r="K4" s="3">
        <v>6</v>
      </c>
      <c r="L4" s="3">
        <v>0</v>
      </c>
      <c r="M4" s="3">
        <v>0</v>
      </c>
      <c r="N4" s="3">
        <f t="shared" si="0"/>
        <v>452</v>
      </c>
      <c r="O4" s="3">
        <f t="shared" ref="O4:O8" si="1">SUM(H4:J4)</f>
        <v>169</v>
      </c>
    </row>
    <row r="5" spans="1:15">
      <c r="A5" s="2">
        <v>0.75</v>
      </c>
      <c r="B5" s="3">
        <v>3</v>
      </c>
      <c r="C5" s="3">
        <v>9</v>
      </c>
      <c r="D5" s="3">
        <v>69</v>
      </c>
      <c r="E5" s="3">
        <v>25</v>
      </c>
      <c r="F5" s="3">
        <v>114</v>
      </c>
      <c r="G5" s="3">
        <v>57</v>
      </c>
      <c r="H5" s="3">
        <v>76</v>
      </c>
      <c r="I5" s="3">
        <v>97</v>
      </c>
      <c r="J5" s="3">
        <v>25</v>
      </c>
      <c r="K5" s="3">
        <v>8</v>
      </c>
      <c r="L5" s="3">
        <v>1</v>
      </c>
      <c r="M5" s="3">
        <v>1</v>
      </c>
      <c r="N5" s="3">
        <f t="shared" si="0"/>
        <v>485</v>
      </c>
      <c r="O5" s="3">
        <f t="shared" si="1"/>
        <v>198</v>
      </c>
    </row>
    <row r="6" spans="1:15">
      <c r="A6" s="2">
        <v>0.5</v>
      </c>
      <c r="B6" s="3">
        <v>3</v>
      </c>
      <c r="C6" s="3">
        <v>9</v>
      </c>
      <c r="D6" s="3">
        <v>69</v>
      </c>
      <c r="E6" s="3">
        <v>25</v>
      </c>
      <c r="F6" s="3">
        <v>114</v>
      </c>
      <c r="G6" s="3">
        <v>57</v>
      </c>
      <c r="H6" s="3">
        <v>95</v>
      </c>
      <c r="I6" s="3">
        <v>125</v>
      </c>
      <c r="J6" s="3">
        <v>30</v>
      </c>
      <c r="K6" s="3">
        <v>10</v>
      </c>
      <c r="L6" s="3">
        <v>2</v>
      </c>
      <c r="M6" s="3">
        <v>1</v>
      </c>
      <c r="N6" s="3">
        <f t="shared" si="0"/>
        <v>540</v>
      </c>
      <c r="O6" s="3">
        <f t="shared" si="1"/>
        <v>250</v>
      </c>
    </row>
    <row r="7" spans="1:15">
      <c r="A7" s="2">
        <v>0.25</v>
      </c>
      <c r="B7" s="3">
        <v>3</v>
      </c>
      <c r="C7" s="3">
        <v>9</v>
      </c>
      <c r="D7" s="3">
        <v>69</v>
      </c>
      <c r="E7" s="3">
        <v>25</v>
      </c>
      <c r="F7" s="3">
        <v>114</v>
      </c>
      <c r="G7" s="3">
        <v>57</v>
      </c>
      <c r="H7" s="3">
        <v>130</v>
      </c>
      <c r="I7" s="3">
        <v>165</v>
      </c>
      <c r="J7" s="3">
        <v>77</v>
      </c>
      <c r="K7" s="3">
        <v>18</v>
      </c>
      <c r="L7" s="3">
        <v>2</v>
      </c>
      <c r="M7" s="3">
        <v>1</v>
      </c>
      <c r="N7" s="3">
        <f t="shared" si="0"/>
        <v>670</v>
      </c>
      <c r="O7" s="3">
        <f t="shared" si="1"/>
        <v>372</v>
      </c>
    </row>
    <row r="8" spans="1:15">
      <c r="A8" s="2">
        <v>0.1</v>
      </c>
      <c r="B8" s="3">
        <v>3</v>
      </c>
      <c r="C8" s="3">
        <v>9</v>
      </c>
      <c r="D8" s="3">
        <v>69</v>
      </c>
      <c r="E8" s="3">
        <v>25</v>
      </c>
      <c r="F8" s="3">
        <v>114</v>
      </c>
      <c r="G8" s="3">
        <v>57</v>
      </c>
      <c r="H8" s="3">
        <v>157</v>
      </c>
      <c r="I8" s="3">
        <v>205</v>
      </c>
      <c r="J8" s="3">
        <v>104</v>
      </c>
      <c r="K8" s="3">
        <v>24</v>
      </c>
      <c r="L8" s="3">
        <v>2</v>
      </c>
      <c r="M8" s="3">
        <v>1</v>
      </c>
      <c r="N8" s="3">
        <f t="shared" si="0"/>
        <v>770</v>
      </c>
      <c r="O8" s="3">
        <f t="shared" si="1"/>
        <v>466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K9" s="3"/>
      <c r="L9" s="3"/>
      <c r="M9" s="6" t="s">
        <v>19</v>
      </c>
      <c r="N9" s="6">
        <v>1943</v>
      </c>
      <c r="O9" s="2">
        <v>1221</v>
      </c>
    </row>
    <row r="10" spans="1:15">
      <c r="B10" t="s">
        <v>17</v>
      </c>
      <c r="C10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B085-E059-1C4D-A77F-7EBB7256EEEE}">
  <dimension ref="A1:O10"/>
  <sheetViews>
    <sheetView topLeftCell="A2" workbookViewId="0">
      <selection activeCell="C10" sqref="C10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3</v>
      </c>
      <c r="C3" s="3">
        <v>9</v>
      </c>
      <c r="D3" s="3">
        <v>69</v>
      </c>
      <c r="E3" s="3">
        <v>25</v>
      </c>
      <c r="F3" s="3">
        <v>114</v>
      </c>
      <c r="G3" s="3">
        <v>57</v>
      </c>
      <c r="H3" s="3">
        <v>85</v>
      </c>
      <c r="I3" s="3">
        <v>61</v>
      </c>
      <c r="J3" s="3">
        <v>5</v>
      </c>
      <c r="K3" s="3">
        <v>2</v>
      </c>
      <c r="L3" s="3">
        <v>0</v>
      </c>
      <c r="M3" s="3">
        <v>0</v>
      </c>
      <c r="N3" s="3">
        <f t="shared" ref="N3:N8" si="0">SUM(B3:M3)</f>
        <v>430</v>
      </c>
      <c r="O3" s="3">
        <f>SUM(H3:J3)</f>
        <v>151</v>
      </c>
    </row>
    <row r="4" spans="1:15">
      <c r="A4" s="2">
        <v>0.9</v>
      </c>
      <c r="B4" s="3">
        <v>3</v>
      </c>
      <c r="C4" s="3">
        <v>9</v>
      </c>
      <c r="D4" s="3">
        <v>69</v>
      </c>
      <c r="E4" s="3">
        <v>25</v>
      </c>
      <c r="F4" s="3">
        <v>114</v>
      </c>
      <c r="G4" s="3">
        <v>57</v>
      </c>
      <c r="H4" s="3">
        <v>85</v>
      </c>
      <c r="I4" s="3">
        <v>90</v>
      </c>
      <c r="J4" s="3">
        <v>10</v>
      </c>
      <c r="K4" s="3">
        <v>5</v>
      </c>
      <c r="L4" s="3">
        <v>0</v>
      </c>
      <c r="M4" s="3">
        <v>0</v>
      </c>
      <c r="N4" s="3">
        <f t="shared" si="0"/>
        <v>467</v>
      </c>
      <c r="O4" s="3">
        <f t="shared" ref="O4:O8" si="1">SUM(H4:J4)</f>
        <v>185</v>
      </c>
    </row>
    <row r="5" spans="1:15">
      <c r="A5" s="2">
        <v>0.75</v>
      </c>
      <c r="B5" s="3">
        <v>3</v>
      </c>
      <c r="C5" s="3">
        <v>9</v>
      </c>
      <c r="D5" s="3">
        <v>69</v>
      </c>
      <c r="E5" s="3">
        <v>25</v>
      </c>
      <c r="F5" s="3">
        <v>114</v>
      </c>
      <c r="G5" s="3">
        <v>57</v>
      </c>
      <c r="H5" s="3">
        <v>85</v>
      </c>
      <c r="I5" s="3">
        <v>103</v>
      </c>
      <c r="J5" s="3">
        <v>23</v>
      </c>
      <c r="K5" s="3">
        <v>7</v>
      </c>
      <c r="L5" s="3">
        <v>0</v>
      </c>
      <c r="M5" s="3">
        <v>0</v>
      </c>
      <c r="N5" s="3">
        <f t="shared" si="0"/>
        <v>495</v>
      </c>
      <c r="O5" s="3">
        <f t="shared" si="1"/>
        <v>211</v>
      </c>
    </row>
    <row r="6" spans="1:15">
      <c r="A6" s="2">
        <v>0.5</v>
      </c>
      <c r="B6" s="3">
        <v>3</v>
      </c>
      <c r="C6" s="3">
        <v>9</v>
      </c>
      <c r="D6" s="3">
        <v>69</v>
      </c>
      <c r="E6" s="3">
        <v>25</v>
      </c>
      <c r="F6" s="3">
        <v>114</v>
      </c>
      <c r="G6" s="3">
        <v>57</v>
      </c>
      <c r="H6" s="3">
        <v>85</v>
      </c>
      <c r="I6" s="3">
        <v>110</v>
      </c>
      <c r="J6" s="3">
        <v>35</v>
      </c>
      <c r="K6" s="3">
        <v>10</v>
      </c>
      <c r="L6" s="3">
        <v>0</v>
      </c>
      <c r="M6" s="3">
        <v>0</v>
      </c>
      <c r="N6" s="3">
        <f t="shared" si="0"/>
        <v>517</v>
      </c>
      <c r="O6" s="3">
        <f t="shared" si="1"/>
        <v>230</v>
      </c>
    </row>
    <row r="7" spans="1:15">
      <c r="A7" s="2">
        <v>0.25</v>
      </c>
      <c r="B7" s="3">
        <v>3</v>
      </c>
      <c r="C7" s="3">
        <v>9</v>
      </c>
      <c r="D7" s="3">
        <v>69</v>
      </c>
      <c r="E7" s="3">
        <v>25</v>
      </c>
      <c r="F7" s="3">
        <v>114</v>
      </c>
      <c r="G7" s="3">
        <v>57</v>
      </c>
      <c r="H7" s="3">
        <v>85</v>
      </c>
      <c r="I7" s="3">
        <v>120</v>
      </c>
      <c r="J7" s="3">
        <v>50</v>
      </c>
      <c r="K7" s="3">
        <v>14</v>
      </c>
      <c r="L7" s="3">
        <v>2</v>
      </c>
      <c r="M7" s="3">
        <v>2</v>
      </c>
      <c r="N7" s="3">
        <f t="shared" si="0"/>
        <v>550</v>
      </c>
      <c r="O7" s="3">
        <f t="shared" si="1"/>
        <v>255</v>
      </c>
    </row>
    <row r="8" spans="1:15">
      <c r="A8" s="2">
        <v>0.1</v>
      </c>
      <c r="B8" s="3">
        <v>3</v>
      </c>
      <c r="C8" s="3">
        <v>9</v>
      </c>
      <c r="D8" s="3">
        <v>69</v>
      </c>
      <c r="E8" s="3">
        <v>25</v>
      </c>
      <c r="F8" s="3">
        <v>114</v>
      </c>
      <c r="G8" s="3">
        <v>57</v>
      </c>
      <c r="H8" s="3">
        <v>85</v>
      </c>
      <c r="I8" s="3">
        <v>131</v>
      </c>
      <c r="J8" s="3">
        <v>66</v>
      </c>
      <c r="K8" s="3">
        <v>18</v>
      </c>
      <c r="L8" s="3">
        <v>4</v>
      </c>
      <c r="M8" s="3">
        <v>3</v>
      </c>
      <c r="N8" s="3">
        <f t="shared" si="0"/>
        <v>584</v>
      </c>
      <c r="O8" s="3">
        <f t="shared" si="1"/>
        <v>282</v>
      </c>
    </row>
    <row r="9" spans="1:15">
      <c r="A9" s="3"/>
      <c r="B9" s="3"/>
      <c r="C9" s="3"/>
      <c r="D9" s="3"/>
      <c r="E9" s="3"/>
      <c r="F9" s="3"/>
      <c r="G9" s="3"/>
      <c r="K9" s="3"/>
      <c r="M9" s="6" t="s">
        <v>19</v>
      </c>
      <c r="N9" s="6">
        <v>1943</v>
      </c>
      <c r="O9" s="2">
        <v>1221</v>
      </c>
    </row>
    <row r="10" spans="1:15">
      <c r="B10" t="s">
        <v>17</v>
      </c>
      <c r="C10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EC268-B450-A34C-90B7-FA438A3BE526}">
  <dimension ref="A1:O9"/>
  <sheetViews>
    <sheetView workbookViewId="0">
      <selection sqref="A1:O9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>
        <f>SUM(B3:M3)</f>
        <v>0</v>
      </c>
      <c r="O3" s="3">
        <f>SUM(H3:J3)</f>
        <v>0</v>
      </c>
    </row>
    <row r="4" spans="1:15">
      <c r="A4" s="2">
        <v>0.9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>
        <f t="shared" ref="N4:N8" si="0">SUM(B4:M4)</f>
        <v>0</v>
      </c>
      <c r="O4" s="3">
        <f t="shared" ref="O4:O8" si="1">SUM(H4:J4)</f>
        <v>0</v>
      </c>
    </row>
    <row r="5" spans="1:15">
      <c r="A5" s="2">
        <v>0.75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>
        <f t="shared" si="0"/>
        <v>0</v>
      </c>
      <c r="O5" s="3">
        <f t="shared" si="1"/>
        <v>0</v>
      </c>
    </row>
    <row r="6" spans="1:15">
      <c r="A6" s="2">
        <v>0.5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>
        <f t="shared" si="0"/>
        <v>0</v>
      </c>
      <c r="O6" s="3">
        <f t="shared" si="1"/>
        <v>0</v>
      </c>
    </row>
    <row r="7" spans="1:15">
      <c r="A7" s="2">
        <v>0.25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>
        <f t="shared" si="0"/>
        <v>0</v>
      </c>
      <c r="O7" s="3">
        <f t="shared" si="1"/>
        <v>0</v>
      </c>
    </row>
    <row r="8" spans="1:15">
      <c r="A8" s="2">
        <v>0.1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>
        <f t="shared" si="0"/>
        <v>0</v>
      </c>
      <c r="O8" s="3">
        <f t="shared" si="1"/>
        <v>0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6">
        <v>1909</v>
      </c>
      <c r="O9" s="2">
        <v>1193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Dec1</vt:lpstr>
      <vt:lpstr>Jan1</vt:lpstr>
      <vt:lpstr>Feb1</vt:lpstr>
      <vt:lpstr>Mar1</vt:lpstr>
      <vt:lpstr>Apr1</vt:lpstr>
      <vt:lpstr>May1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Evelyn Murdoch</dc:creator>
  <cp:lastModifiedBy>Lindsay Murdoch</cp:lastModifiedBy>
  <dcterms:created xsi:type="dcterms:W3CDTF">2021-12-13T20:28:37Z</dcterms:created>
  <dcterms:modified xsi:type="dcterms:W3CDTF">2024-11-06T23:17:06Z</dcterms:modified>
</cp:coreProperties>
</file>