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Tuolumne_Model/SJWSI_Forcasts/"/>
    </mc:Choice>
  </mc:AlternateContent>
  <xr:revisionPtr revIDLastSave="0" documentId="13_ncr:1_{A2D91F3C-D2A0-8248-95DB-38C57959956B}" xr6:coauthVersionLast="47" xr6:coauthVersionMax="47" xr10:uidLastSave="{00000000-0000-0000-0000-000000000000}"/>
  <bookViews>
    <workbookView xWindow="1580" yWindow="6860" windowWidth="26840" windowHeight="9960" xr2:uid="{6B4FFF05-CBA4-9E4C-B708-59D287421E01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5" l="1"/>
  <c r="O5" i="5"/>
  <c r="O6" i="5"/>
  <c r="O7" i="5"/>
  <c r="O8" i="5"/>
  <c r="O3" i="5"/>
  <c r="O4" i="4"/>
  <c r="O5" i="4"/>
  <c r="O6" i="4"/>
  <c r="O7" i="4"/>
  <c r="O8" i="4"/>
  <c r="O3" i="4"/>
  <c r="O4" i="3"/>
  <c r="O5" i="3"/>
  <c r="O6" i="3"/>
  <c r="O7" i="3"/>
  <c r="O8" i="3"/>
  <c r="O3" i="3"/>
  <c r="O4" i="2"/>
  <c r="O5" i="2"/>
  <c r="O6" i="2"/>
  <c r="O7" i="2"/>
  <c r="O8" i="2"/>
  <c r="O3" i="2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  <c r="N8" i="3"/>
  <c r="N7" i="3"/>
  <c r="N6" i="3"/>
  <c r="N5" i="3"/>
  <c r="N4" i="3"/>
  <c r="N3" i="3"/>
  <c r="N8" i="2"/>
  <c r="N7" i="2"/>
  <c r="N6" i="2"/>
  <c r="N5" i="2"/>
  <c r="N4" i="2"/>
  <c r="N3" i="2"/>
  <c r="N3" i="1"/>
  <c r="O3" i="1"/>
  <c r="N4" i="1"/>
  <c r="O4" i="1"/>
  <c r="N5" i="1"/>
  <c r="O5" i="1"/>
  <c r="N6" i="1"/>
  <c r="O6" i="1"/>
  <c r="N7" i="1"/>
  <c r="O7" i="1"/>
  <c r="N8" i="1"/>
  <c r="O8" i="1"/>
</calcChain>
</file>

<file path=xl/sharedStrings.xml><?xml version="1.0" encoding="utf-8"?>
<sst xmlns="http://schemas.openxmlformats.org/spreadsheetml/2006/main" count="102" uniqueCount="17">
  <si>
    <t xml:space="preserve">1966-2015 avg </t>
  </si>
  <si>
    <t>Apr-Jun</t>
  </si>
  <si>
    <t>WY</t>
  </si>
  <si>
    <t>Sept</t>
  </si>
  <si>
    <t>Aug</t>
  </si>
  <si>
    <t>Jul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</si>
  <si>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</si>
  <si>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</si>
  <si>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</si>
  <si>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</si>
  <si>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</si>
  <si>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</si>
  <si>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</si>
  <si>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</si>
  <si>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</si>
  <si>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WY %Avg</t>
  </si>
  <si>
    <t xml:space="preserve">Tuolumne River below La Grange Reservoir Unimpaired Flow [taf]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</si>
</sst>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MT"/>
    </font>
    <font>
      <b/>
      <sz val="9"/>
      <color rgb="FF000000"/>
      <name val="ArialMT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F3E6-88F3-134C-A1BB-37FF0406B5FC}">
  <dimension ref="A1:O9"/>
  <sheetViews>
    <sheetView tabSelected="1" workbookViewId="0">
      <selection activeCell="F13" sqref="F13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 s="1">
        <v>24</v>
      </c>
      <c r="C3" s="1">
        <v>13</v>
      </c>
      <c r="D3" s="1">
        <v>15</v>
      </c>
      <c r="E3">
        <v>15</v>
      </c>
      <c r="F3">
        <v>30</v>
      </c>
      <c r="G3">
        <v>50</v>
      </c>
      <c r="H3">
        <v>85</v>
      </c>
      <c r="I3">
        <v>110</v>
      </c>
      <c r="J3">
        <v>50</v>
      </c>
      <c r="K3">
        <v>10</v>
      </c>
      <c r="L3">
        <v>5</v>
      </c>
      <c r="M3">
        <v>4</v>
      </c>
      <c r="N3" s="1">
        <f t="shared" ref="N3:N8" si="0">SUM(B3:M3)</f>
        <v>411</v>
      </c>
      <c r="O3" s="1">
        <f t="shared" ref="O3:O8" si="1">SUM(H3:J3)</f>
        <v>245</v>
      </c>
    </row>
    <row r="4" spans="1:15">
      <c r="A4" s="4">
        <v>0.9</v>
      </c>
      <c r="B4" s="1">
        <v>24</v>
      </c>
      <c r="C4" s="1">
        <v>13</v>
      </c>
      <c r="D4" s="1">
        <v>20</v>
      </c>
      <c r="E4">
        <v>35</v>
      </c>
      <c r="F4">
        <v>60</v>
      </c>
      <c r="G4">
        <v>90</v>
      </c>
      <c r="H4">
        <v>155</v>
      </c>
      <c r="I4">
        <v>200</v>
      </c>
      <c r="J4">
        <v>95</v>
      </c>
      <c r="K4">
        <v>25</v>
      </c>
      <c r="L4">
        <v>10</v>
      </c>
      <c r="M4">
        <v>8</v>
      </c>
      <c r="N4" s="1">
        <f t="shared" si="0"/>
        <v>735</v>
      </c>
      <c r="O4" s="1">
        <f t="shared" si="1"/>
        <v>450</v>
      </c>
    </row>
    <row r="5" spans="1:15">
      <c r="A5" s="4">
        <v>0.75</v>
      </c>
      <c r="B5" s="1">
        <v>24</v>
      </c>
      <c r="C5" s="1">
        <v>13</v>
      </c>
      <c r="D5" s="1">
        <v>30</v>
      </c>
      <c r="E5">
        <v>45</v>
      </c>
      <c r="F5">
        <v>75</v>
      </c>
      <c r="G5">
        <v>120</v>
      </c>
      <c r="H5">
        <v>185</v>
      </c>
      <c r="I5">
        <v>255</v>
      </c>
      <c r="J5">
        <v>145</v>
      </c>
      <c r="K5">
        <v>30</v>
      </c>
      <c r="L5">
        <v>13</v>
      </c>
      <c r="M5">
        <v>11</v>
      </c>
      <c r="N5" s="1">
        <f t="shared" si="0"/>
        <v>946</v>
      </c>
      <c r="O5" s="1">
        <f t="shared" si="1"/>
        <v>585</v>
      </c>
    </row>
    <row r="6" spans="1:15">
      <c r="A6" s="4">
        <v>0.5</v>
      </c>
      <c r="B6" s="1">
        <v>24</v>
      </c>
      <c r="C6" s="1">
        <v>13</v>
      </c>
      <c r="D6" s="1">
        <v>70</v>
      </c>
      <c r="E6">
        <v>105</v>
      </c>
      <c r="F6">
        <v>125</v>
      </c>
      <c r="G6">
        <v>160</v>
      </c>
      <c r="H6">
        <v>205</v>
      </c>
      <c r="I6">
        <v>365</v>
      </c>
      <c r="J6">
        <v>275</v>
      </c>
      <c r="K6">
        <v>75</v>
      </c>
      <c r="L6">
        <v>20</v>
      </c>
      <c r="M6">
        <v>13</v>
      </c>
      <c r="N6" s="1">
        <f t="shared" si="0"/>
        <v>1450</v>
      </c>
      <c r="O6" s="1">
        <f t="shared" si="1"/>
        <v>845</v>
      </c>
    </row>
    <row r="7" spans="1:15">
      <c r="A7" s="4">
        <v>0.25</v>
      </c>
      <c r="B7" s="1">
        <v>24</v>
      </c>
      <c r="C7" s="1">
        <v>13</v>
      </c>
      <c r="D7" s="1">
        <v>120</v>
      </c>
      <c r="E7">
        <v>175</v>
      </c>
      <c r="F7">
        <v>175</v>
      </c>
      <c r="G7">
        <v>210</v>
      </c>
      <c r="H7">
        <v>250</v>
      </c>
      <c r="I7">
        <v>430</v>
      </c>
      <c r="J7">
        <v>375</v>
      </c>
      <c r="K7">
        <v>130</v>
      </c>
      <c r="L7">
        <v>37</v>
      </c>
      <c r="M7">
        <v>22</v>
      </c>
      <c r="N7" s="1">
        <f t="shared" si="0"/>
        <v>1961</v>
      </c>
      <c r="O7" s="1">
        <f t="shared" si="1"/>
        <v>1055</v>
      </c>
    </row>
    <row r="8" spans="1:15">
      <c r="A8" s="4">
        <v>0.1</v>
      </c>
      <c r="B8" s="1">
        <v>24</v>
      </c>
      <c r="C8" s="1">
        <v>13</v>
      </c>
      <c r="D8" s="1">
        <v>160</v>
      </c>
      <c r="E8">
        <v>280</v>
      </c>
      <c r="F8">
        <v>220</v>
      </c>
      <c r="G8">
        <v>275</v>
      </c>
      <c r="H8">
        <v>310</v>
      </c>
      <c r="I8">
        <v>515</v>
      </c>
      <c r="J8">
        <v>515</v>
      </c>
      <c r="K8">
        <v>255</v>
      </c>
      <c r="L8">
        <v>55</v>
      </c>
      <c r="M8">
        <v>29</v>
      </c>
      <c r="N8" s="1">
        <f t="shared" si="0"/>
        <v>2651</v>
      </c>
      <c r="O8" s="1">
        <f t="shared" si="1"/>
        <v>1340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365F-21F5-E241-9870-512EAA5D102C}">
  <dimension ref="A1:O9"/>
  <sheetViews>
    <sheetView zoomScale="94" workbookViewId="0">
      <selection activeCell="N9" sqref="N9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>
        <v>24</v>
      </c>
      <c r="C3">
        <v>13</v>
      </c>
      <c r="D3">
        <v>71</v>
      </c>
      <c r="E3">
        <v>30</v>
      </c>
      <c r="F3">
        <v>55</v>
      </c>
      <c r="G3">
        <v>80</v>
      </c>
      <c r="H3">
        <v>140</v>
      </c>
      <c r="I3">
        <v>180</v>
      </c>
      <c r="J3">
        <v>85</v>
      </c>
      <c r="K3">
        <v>20</v>
      </c>
      <c r="L3">
        <v>10</v>
      </c>
      <c r="M3">
        <v>7</v>
      </c>
      <c r="N3" s="1">
        <f t="shared" ref="N3:N8" si="0">SUM(B3:M3)</f>
        <v>715</v>
      </c>
      <c r="O3" s="1">
        <f>SUM(H3:J3)</f>
        <v>405</v>
      </c>
    </row>
    <row r="4" spans="1:15">
      <c r="A4" s="4">
        <v>0.9</v>
      </c>
      <c r="B4">
        <v>24</v>
      </c>
      <c r="C4">
        <v>13</v>
      </c>
      <c r="D4">
        <v>71</v>
      </c>
      <c r="E4">
        <v>45</v>
      </c>
      <c r="F4">
        <v>80</v>
      </c>
      <c r="G4">
        <v>125</v>
      </c>
      <c r="H4">
        <v>185</v>
      </c>
      <c r="I4">
        <v>260</v>
      </c>
      <c r="J4">
        <v>155</v>
      </c>
      <c r="K4">
        <v>30</v>
      </c>
      <c r="L4">
        <v>17</v>
      </c>
      <c r="M4">
        <v>10</v>
      </c>
      <c r="N4" s="1">
        <f t="shared" si="0"/>
        <v>1015</v>
      </c>
      <c r="O4" s="1">
        <f t="shared" ref="O4:O8" si="1">SUM(H4:J4)</f>
        <v>600</v>
      </c>
    </row>
    <row r="5" spans="1:15">
      <c r="A5" s="4">
        <v>0.75</v>
      </c>
      <c r="B5">
        <v>24</v>
      </c>
      <c r="C5">
        <v>13</v>
      </c>
      <c r="D5">
        <v>71</v>
      </c>
      <c r="E5">
        <v>90</v>
      </c>
      <c r="F5">
        <v>115</v>
      </c>
      <c r="G5">
        <v>155</v>
      </c>
      <c r="H5">
        <v>205</v>
      </c>
      <c r="I5">
        <v>330</v>
      </c>
      <c r="J5">
        <v>240</v>
      </c>
      <c r="K5">
        <v>65</v>
      </c>
      <c r="L5">
        <v>23</v>
      </c>
      <c r="M5">
        <v>14</v>
      </c>
      <c r="N5" s="1">
        <f t="shared" si="0"/>
        <v>1345</v>
      </c>
      <c r="O5" s="1">
        <f t="shared" si="1"/>
        <v>775</v>
      </c>
    </row>
    <row r="6" spans="1:15">
      <c r="A6" s="4">
        <v>0.5</v>
      </c>
      <c r="B6">
        <v>24</v>
      </c>
      <c r="C6">
        <v>13</v>
      </c>
      <c r="D6">
        <v>71</v>
      </c>
      <c r="E6">
        <v>135</v>
      </c>
      <c r="F6">
        <v>150</v>
      </c>
      <c r="G6">
        <v>180</v>
      </c>
      <c r="H6">
        <v>225</v>
      </c>
      <c r="I6">
        <v>400</v>
      </c>
      <c r="J6">
        <v>320</v>
      </c>
      <c r="K6">
        <v>95</v>
      </c>
      <c r="L6">
        <v>30</v>
      </c>
      <c r="M6">
        <v>17</v>
      </c>
      <c r="N6" s="1">
        <f t="shared" si="0"/>
        <v>1660</v>
      </c>
      <c r="O6" s="1">
        <f t="shared" si="1"/>
        <v>945</v>
      </c>
    </row>
    <row r="7" spans="1:15">
      <c r="A7" s="4">
        <v>0.25</v>
      </c>
      <c r="B7">
        <v>24</v>
      </c>
      <c r="C7">
        <v>13</v>
      </c>
      <c r="D7">
        <v>71</v>
      </c>
      <c r="E7">
        <v>215</v>
      </c>
      <c r="F7">
        <v>190</v>
      </c>
      <c r="G7">
        <v>235</v>
      </c>
      <c r="H7">
        <v>275</v>
      </c>
      <c r="I7">
        <v>470</v>
      </c>
      <c r="J7">
        <v>430</v>
      </c>
      <c r="K7">
        <v>185</v>
      </c>
      <c r="L7">
        <v>40</v>
      </c>
      <c r="M7">
        <v>22</v>
      </c>
      <c r="N7" s="1">
        <f t="shared" si="0"/>
        <v>2170</v>
      </c>
      <c r="O7" s="1">
        <f t="shared" si="1"/>
        <v>1175</v>
      </c>
    </row>
    <row r="8" spans="1:15">
      <c r="A8" s="4">
        <v>0.1</v>
      </c>
      <c r="B8">
        <v>24</v>
      </c>
      <c r="C8">
        <v>13</v>
      </c>
      <c r="D8">
        <v>71</v>
      </c>
      <c r="E8">
        <v>295</v>
      </c>
      <c r="F8">
        <v>230</v>
      </c>
      <c r="G8">
        <v>290</v>
      </c>
      <c r="H8">
        <v>325</v>
      </c>
      <c r="I8">
        <v>540</v>
      </c>
      <c r="J8">
        <v>545</v>
      </c>
      <c r="K8">
        <v>275</v>
      </c>
      <c r="L8">
        <v>60</v>
      </c>
      <c r="M8">
        <v>27</v>
      </c>
      <c r="N8" s="1">
        <f t="shared" si="0"/>
        <v>2695</v>
      </c>
      <c r="O8" s="1">
        <f t="shared" si="1"/>
        <v>1410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6C91-3208-CD4B-B258-93F9C7F3C5D4}">
  <dimension ref="A1:O11"/>
  <sheetViews>
    <sheetView workbookViewId="0">
      <selection activeCell="N9" sqref="N9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>
        <v>24</v>
      </c>
      <c r="C3">
        <v>13</v>
      </c>
      <c r="D3">
        <v>71</v>
      </c>
      <c r="E3">
        <v>36</v>
      </c>
      <c r="F3">
        <v>65</v>
      </c>
      <c r="G3">
        <v>115</v>
      </c>
      <c r="H3">
        <v>175</v>
      </c>
      <c r="I3">
        <v>265</v>
      </c>
      <c r="J3">
        <v>165</v>
      </c>
      <c r="K3">
        <v>30</v>
      </c>
      <c r="L3">
        <v>7</v>
      </c>
      <c r="M3">
        <v>4</v>
      </c>
      <c r="N3" s="1">
        <f t="shared" ref="N3:N8" si="0">SUM(B3:M3)</f>
        <v>970</v>
      </c>
      <c r="O3" s="1">
        <f>SUM(H3:J3)</f>
        <v>605</v>
      </c>
    </row>
    <row r="4" spans="1:15">
      <c r="A4" s="4">
        <v>0.9</v>
      </c>
      <c r="B4">
        <v>24</v>
      </c>
      <c r="C4">
        <v>13</v>
      </c>
      <c r="D4">
        <v>71</v>
      </c>
      <c r="E4">
        <v>36</v>
      </c>
      <c r="F4">
        <v>70</v>
      </c>
      <c r="G4">
        <v>123</v>
      </c>
      <c r="H4">
        <v>190</v>
      </c>
      <c r="I4">
        <v>290</v>
      </c>
      <c r="J4">
        <v>185</v>
      </c>
      <c r="K4">
        <v>35</v>
      </c>
      <c r="L4">
        <v>8</v>
      </c>
      <c r="M4">
        <v>5</v>
      </c>
      <c r="N4" s="1">
        <f t="shared" si="0"/>
        <v>1050</v>
      </c>
      <c r="O4" s="1">
        <f t="shared" ref="O4:O8" si="1">SUM(H4:J4)</f>
        <v>665</v>
      </c>
    </row>
    <row r="5" spans="1:15">
      <c r="A5" s="4">
        <v>0.75</v>
      </c>
      <c r="B5">
        <v>24</v>
      </c>
      <c r="C5">
        <v>13</v>
      </c>
      <c r="D5">
        <v>71</v>
      </c>
      <c r="E5">
        <v>36</v>
      </c>
      <c r="F5">
        <v>75</v>
      </c>
      <c r="G5">
        <v>140</v>
      </c>
      <c r="H5">
        <v>213</v>
      </c>
      <c r="I5">
        <v>325</v>
      </c>
      <c r="J5">
        <v>205</v>
      </c>
      <c r="K5">
        <v>37</v>
      </c>
      <c r="L5">
        <v>9</v>
      </c>
      <c r="M5">
        <v>7</v>
      </c>
      <c r="N5" s="1">
        <f t="shared" si="0"/>
        <v>1155</v>
      </c>
      <c r="O5" s="1">
        <f t="shared" si="1"/>
        <v>743</v>
      </c>
    </row>
    <row r="6" spans="1:15">
      <c r="A6" s="4">
        <v>0.5</v>
      </c>
      <c r="B6">
        <v>24</v>
      </c>
      <c r="C6">
        <v>13</v>
      </c>
      <c r="D6">
        <v>71</v>
      </c>
      <c r="E6">
        <v>36</v>
      </c>
      <c r="F6">
        <v>85</v>
      </c>
      <c r="G6">
        <v>155</v>
      </c>
      <c r="H6">
        <v>235</v>
      </c>
      <c r="I6">
        <v>360</v>
      </c>
      <c r="J6">
        <v>225</v>
      </c>
      <c r="K6">
        <v>40</v>
      </c>
      <c r="L6">
        <v>10</v>
      </c>
      <c r="M6">
        <v>6</v>
      </c>
      <c r="N6" s="1">
        <f t="shared" si="0"/>
        <v>1260</v>
      </c>
      <c r="O6" s="1">
        <f t="shared" si="1"/>
        <v>820</v>
      </c>
    </row>
    <row r="7" spans="1:15">
      <c r="A7" s="4">
        <v>0.25</v>
      </c>
      <c r="B7">
        <v>24</v>
      </c>
      <c r="C7">
        <v>13</v>
      </c>
      <c r="D7">
        <v>71</v>
      </c>
      <c r="E7">
        <v>36</v>
      </c>
      <c r="F7">
        <v>98</v>
      </c>
      <c r="G7">
        <v>180</v>
      </c>
      <c r="H7">
        <v>270</v>
      </c>
      <c r="I7">
        <v>415</v>
      </c>
      <c r="J7">
        <v>260</v>
      </c>
      <c r="K7">
        <v>45</v>
      </c>
      <c r="L7">
        <v>11</v>
      </c>
      <c r="M7">
        <v>7</v>
      </c>
      <c r="N7" s="1">
        <f t="shared" si="0"/>
        <v>1430</v>
      </c>
      <c r="O7" s="1">
        <f t="shared" si="1"/>
        <v>945</v>
      </c>
    </row>
    <row r="8" spans="1:15">
      <c r="A8" s="4">
        <v>0.1</v>
      </c>
      <c r="B8">
        <v>24</v>
      </c>
      <c r="C8">
        <v>13</v>
      </c>
      <c r="D8">
        <v>71</v>
      </c>
      <c r="E8">
        <v>36</v>
      </c>
      <c r="F8">
        <v>110</v>
      </c>
      <c r="G8">
        <v>205</v>
      </c>
      <c r="H8">
        <v>305</v>
      </c>
      <c r="I8">
        <v>470</v>
      </c>
      <c r="J8">
        <v>295</v>
      </c>
      <c r="K8">
        <v>50</v>
      </c>
      <c r="L8">
        <v>13</v>
      </c>
      <c r="M8">
        <v>8</v>
      </c>
      <c r="N8" s="1">
        <f t="shared" si="0"/>
        <v>1600</v>
      </c>
      <c r="O8" s="1">
        <f t="shared" si="1"/>
        <v>1070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  <row r="11" spans="1:15" ht="11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A8B5-3386-5347-816B-ED74E0B15F5D}">
  <dimension ref="A1:O9"/>
  <sheetViews>
    <sheetView workbookViewId="0">
      <selection activeCell="N9" sqref="N9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>
        <v>24</v>
      </c>
      <c r="C3">
        <v>13</v>
      </c>
      <c r="D3">
        <v>71</v>
      </c>
      <c r="E3">
        <v>36</v>
      </c>
      <c r="F3">
        <v>36</v>
      </c>
      <c r="G3">
        <v>65</v>
      </c>
      <c r="H3">
        <v>95</v>
      </c>
      <c r="I3">
        <v>132</v>
      </c>
      <c r="J3">
        <v>55</v>
      </c>
      <c r="K3">
        <v>10</v>
      </c>
      <c r="L3">
        <v>3</v>
      </c>
      <c r="M3">
        <v>1</v>
      </c>
      <c r="N3" s="1">
        <f t="shared" ref="N3:N8" si="0">SUM(B3:M3)</f>
        <v>541</v>
      </c>
      <c r="O3" s="1">
        <f>SUM(H3:J3)</f>
        <v>282</v>
      </c>
    </row>
    <row r="4" spans="1:15">
      <c r="A4" s="4">
        <v>0.9</v>
      </c>
      <c r="B4">
        <v>24</v>
      </c>
      <c r="C4">
        <v>13</v>
      </c>
      <c r="D4">
        <v>71</v>
      </c>
      <c r="E4">
        <v>36</v>
      </c>
      <c r="F4">
        <v>36</v>
      </c>
      <c r="G4">
        <v>86</v>
      </c>
      <c r="H4">
        <v>127</v>
      </c>
      <c r="I4">
        <v>182</v>
      </c>
      <c r="J4">
        <v>76</v>
      </c>
      <c r="K4">
        <v>15</v>
      </c>
      <c r="L4">
        <v>4</v>
      </c>
      <c r="M4">
        <v>1</v>
      </c>
      <c r="N4" s="1">
        <f t="shared" si="0"/>
        <v>671</v>
      </c>
      <c r="O4" s="1">
        <f t="shared" ref="O4:O8" si="1">SUM(H4:J4)</f>
        <v>385</v>
      </c>
    </row>
    <row r="5" spans="1:15">
      <c r="A5" s="4">
        <v>0.75</v>
      </c>
      <c r="B5">
        <v>24</v>
      </c>
      <c r="C5">
        <v>13</v>
      </c>
      <c r="D5">
        <v>71</v>
      </c>
      <c r="E5">
        <v>36</v>
      </c>
      <c r="F5">
        <v>36</v>
      </c>
      <c r="G5">
        <v>105</v>
      </c>
      <c r="H5">
        <v>151</v>
      </c>
      <c r="I5">
        <v>216</v>
      </c>
      <c r="J5">
        <v>91</v>
      </c>
      <c r="K5">
        <v>17</v>
      </c>
      <c r="L5">
        <v>4</v>
      </c>
      <c r="M5">
        <v>2</v>
      </c>
      <c r="N5" s="1">
        <f t="shared" si="0"/>
        <v>766</v>
      </c>
      <c r="O5" s="1">
        <f t="shared" si="1"/>
        <v>458</v>
      </c>
    </row>
    <row r="6" spans="1:15">
      <c r="A6" s="4">
        <v>0.5</v>
      </c>
      <c r="B6">
        <v>24</v>
      </c>
      <c r="C6">
        <v>13</v>
      </c>
      <c r="D6">
        <v>71</v>
      </c>
      <c r="E6">
        <v>36</v>
      </c>
      <c r="F6">
        <v>36</v>
      </c>
      <c r="G6">
        <v>124</v>
      </c>
      <c r="H6">
        <v>175</v>
      </c>
      <c r="I6">
        <v>250</v>
      </c>
      <c r="J6">
        <v>105</v>
      </c>
      <c r="K6">
        <v>20</v>
      </c>
      <c r="L6">
        <v>5</v>
      </c>
      <c r="M6">
        <v>2</v>
      </c>
      <c r="N6" s="1">
        <f t="shared" si="0"/>
        <v>861</v>
      </c>
      <c r="O6" s="1">
        <f t="shared" si="1"/>
        <v>530</v>
      </c>
    </row>
    <row r="7" spans="1:15">
      <c r="A7" s="4">
        <v>0.25</v>
      </c>
      <c r="B7">
        <v>24</v>
      </c>
      <c r="C7">
        <v>13</v>
      </c>
      <c r="D7">
        <v>71</v>
      </c>
      <c r="E7">
        <v>36</v>
      </c>
      <c r="F7">
        <v>36</v>
      </c>
      <c r="G7">
        <v>142</v>
      </c>
      <c r="H7">
        <v>196</v>
      </c>
      <c r="I7">
        <v>280</v>
      </c>
      <c r="J7">
        <v>117</v>
      </c>
      <c r="K7">
        <v>22</v>
      </c>
      <c r="L7">
        <v>6</v>
      </c>
      <c r="M7">
        <v>3</v>
      </c>
      <c r="N7" s="1">
        <f t="shared" si="0"/>
        <v>946</v>
      </c>
      <c r="O7" s="1">
        <f t="shared" si="1"/>
        <v>593</v>
      </c>
    </row>
    <row r="8" spans="1:15">
      <c r="A8" s="4">
        <v>0.1</v>
      </c>
      <c r="B8">
        <v>24</v>
      </c>
      <c r="C8">
        <v>13</v>
      </c>
      <c r="D8">
        <v>71</v>
      </c>
      <c r="E8">
        <v>36</v>
      </c>
      <c r="F8">
        <v>36</v>
      </c>
      <c r="G8">
        <v>154</v>
      </c>
      <c r="H8">
        <v>216</v>
      </c>
      <c r="I8">
        <v>309</v>
      </c>
      <c r="J8">
        <v>130</v>
      </c>
      <c r="K8">
        <v>25</v>
      </c>
      <c r="L8">
        <v>6</v>
      </c>
      <c r="M8">
        <v>5</v>
      </c>
      <c r="N8" s="1">
        <f t="shared" si="0"/>
        <v>1025</v>
      </c>
      <c r="O8" s="1">
        <f t="shared" si="1"/>
        <v>655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4B23-6E4F-1241-A6DC-A29B9EBD3FEF}">
  <dimension ref="A1:O12"/>
  <sheetViews>
    <sheetView workbookViewId="0">
      <selection activeCell="N9" sqref="N9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 s="1">
        <v>24</v>
      </c>
      <c r="C3" s="1">
        <v>13</v>
      </c>
      <c r="D3" s="1">
        <v>71</v>
      </c>
      <c r="E3" s="1">
        <v>36</v>
      </c>
      <c r="F3" s="1">
        <v>36</v>
      </c>
      <c r="G3" s="1">
        <v>90</v>
      </c>
      <c r="H3">
        <v>140</v>
      </c>
      <c r="I3">
        <v>205</v>
      </c>
      <c r="J3">
        <v>83</v>
      </c>
      <c r="K3">
        <v>7</v>
      </c>
      <c r="L3">
        <v>0</v>
      </c>
      <c r="M3">
        <v>0</v>
      </c>
      <c r="N3" s="1">
        <f t="shared" ref="N3" si="0">SUM(B3:M3)</f>
        <v>705</v>
      </c>
      <c r="O3" s="1">
        <f>SUM(H3:J3)</f>
        <v>428</v>
      </c>
    </row>
    <row r="4" spans="1:15">
      <c r="A4" s="4">
        <v>0.9</v>
      </c>
      <c r="B4" s="1">
        <v>24</v>
      </c>
      <c r="C4" s="1">
        <v>13</v>
      </c>
      <c r="D4" s="1">
        <v>71</v>
      </c>
      <c r="E4" s="1">
        <v>36</v>
      </c>
      <c r="F4" s="1">
        <v>36</v>
      </c>
      <c r="G4" s="1">
        <v>90</v>
      </c>
      <c r="H4">
        <v>160</v>
      </c>
      <c r="I4">
        <v>245</v>
      </c>
      <c r="J4">
        <v>100</v>
      </c>
      <c r="K4">
        <v>15</v>
      </c>
      <c r="L4">
        <v>5</v>
      </c>
      <c r="M4">
        <v>1</v>
      </c>
      <c r="N4" s="1">
        <f>SUM(B4:M4)</f>
        <v>796</v>
      </c>
      <c r="O4" s="1">
        <f t="shared" ref="O4:O8" si="1">SUM(H4:J4)</f>
        <v>505</v>
      </c>
    </row>
    <row r="5" spans="1:15">
      <c r="A5" s="4">
        <v>0.75</v>
      </c>
      <c r="B5" s="1">
        <v>24</v>
      </c>
      <c r="C5" s="1">
        <v>13</v>
      </c>
      <c r="D5" s="1">
        <v>71</v>
      </c>
      <c r="E5" s="1">
        <v>36</v>
      </c>
      <c r="F5" s="1">
        <v>36</v>
      </c>
      <c r="G5" s="1">
        <v>90</v>
      </c>
      <c r="H5">
        <v>175</v>
      </c>
      <c r="I5">
        <v>268</v>
      </c>
      <c r="J5">
        <v>110</v>
      </c>
      <c r="K5">
        <v>17</v>
      </c>
      <c r="L5">
        <v>5</v>
      </c>
      <c r="M5">
        <v>1</v>
      </c>
      <c r="N5" s="1">
        <f>SUM(B5:M5)</f>
        <v>846</v>
      </c>
      <c r="O5" s="1">
        <f t="shared" si="1"/>
        <v>553</v>
      </c>
    </row>
    <row r="6" spans="1:15">
      <c r="A6" s="4">
        <v>0.5</v>
      </c>
      <c r="B6" s="1">
        <v>24</v>
      </c>
      <c r="C6" s="1">
        <v>13</v>
      </c>
      <c r="D6" s="1">
        <v>71</v>
      </c>
      <c r="E6" s="1">
        <v>36</v>
      </c>
      <c r="F6" s="1">
        <v>36</v>
      </c>
      <c r="G6" s="1">
        <v>90</v>
      </c>
      <c r="H6">
        <v>190</v>
      </c>
      <c r="I6">
        <v>290</v>
      </c>
      <c r="J6">
        <v>120</v>
      </c>
      <c r="K6">
        <v>20</v>
      </c>
      <c r="L6">
        <v>5</v>
      </c>
      <c r="M6">
        <v>1</v>
      </c>
      <c r="N6" s="1">
        <f>SUM(B6:M6)</f>
        <v>896</v>
      </c>
      <c r="O6" s="1">
        <f t="shared" si="1"/>
        <v>600</v>
      </c>
    </row>
    <row r="7" spans="1:15">
      <c r="A7" s="4">
        <v>0.25</v>
      </c>
      <c r="B7" s="1">
        <v>24</v>
      </c>
      <c r="C7" s="1">
        <v>13</v>
      </c>
      <c r="D7" s="1">
        <v>71</v>
      </c>
      <c r="E7" s="1">
        <v>36</v>
      </c>
      <c r="F7" s="1">
        <v>36</v>
      </c>
      <c r="G7" s="1">
        <v>90</v>
      </c>
      <c r="H7">
        <v>205</v>
      </c>
      <c r="I7">
        <v>313</v>
      </c>
      <c r="J7">
        <v>130</v>
      </c>
      <c r="K7">
        <v>22</v>
      </c>
      <c r="L7">
        <v>7</v>
      </c>
      <c r="M7">
        <v>4</v>
      </c>
      <c r="N7" s="1">
        <f>SUM(B7:M7)</f>
        <v>951</v>
      </c>
      <c r="O7" s="1">
        <f t="shared" si="1"/>
        <v>648</v>
      </c>
    </row>
    <row r="8" spans="1:15">
      <c r="A8" s="4">
        <v>0.1</v>
      </c>
      <c r="B8" s="1">
        <v>24</v>
      </c>
      <c r="C8" s="1">
        <v>13</v>
      </c>
      <c r="D8" s="1">
        <v>71</v>
      </c>
      <c r="E8" s="1">
        <v>36</v>
      </c>
      <c r="F8" s="1">
        <v>36</v>
      </c>
      <c r="G8" s="1">
        <v>90</v>
      </c>
      <c r="H8">
        <v>220</v>
      </c>
      <c r="I8">
        <v>335</v>
      </c>
      <c r="J8">
        <v>140</v>
      </c>
      <c r="K8">
        <v>25</v>
      </c>
      <c r="L8">
        <v>10</v>
      </c>
      <c r="M8">
        <v>6</v>
      </c>
      <c r="N8" s="1">
        <f>SUM(B8:M8)</f>
        <v>1006</v>
      </c>
      <c r="O8" s="1">
        <f t="shared" si="1"/>
        <v>695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  <row r="12" spans="1:15">
      <c r="A12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041A-A0DE-2349-A025-E08227B64C04}">
  <dimension ref="A1:O9"/>
  <sheetViews>
    <sheetView workbookViewId="0">
      <selection activeCell="N9" sqref="N9"/>
    </sheetView>
  </sheetViews>
  <sheetFormatPr baseColWidth="10" defaultRowHeight="16"/>
  <sheetData>
    <row r="1" spans="1:15">
      <c r="A1" s="7" t="s">
        <v>16</v>
      </c>
      <c r="B1" s="7"/>
      <c r="C1" s="7"/>
      <c r="D1" s="7"/>
      <c r="E1" s="7"/>
      <c r="F1" s="7"/>
      <c r="G1" s="4" t="s">
        <v>15</v>
      </c>
      <c r="H1" s="1"/>
      <c r="I1" s="1"/>
      <c r="J1" s="1"/>
      <c r="K1" s="1"/>
      <c r="L1" s="1"/>
      <c r="M1" s="1"/>
      <c r="N1" s="1"/>
      <c r="O1" s="1"/>
    </row>
    <row r="2" spans="1:15">
      <c r="A2" s="1"/>
      <c r="B2" s="6" t="s">
        <v>14</v>
      </c>
      <c r="C2" s="4" t="s">
        <v>13</v>
      </c>
      <c r="D2" s="4" t="s">
        <v>12</v>
      </c>
      <c r="E2" s="4" t="s">
        <v>11</v>
      </c>
      <c r="F2" s="4" t="s">
        <v>10</v>
      </c>
      <c r="G2" s="4" t="s">
        <v>9</v>
      </c>
      <c r="H2" s="4" t="s">
        <v>8</v>
      </c>
      <c r="I2" s="4" t="s">
        <v>7</v>
      </c>
      <c r="J2" s="4" t="s">
        <v>6</v>
      </c>
      <c r="K2" s="4" t="s">
        <v>5</v>
      </c>
      <c r="L2" s="4" t="s">
        <v>4</v>
      </c>
      <c r="M2" s="4" t="s">
        <v>3</v>
      </c>
      <c r="N2" s="4" t="s">
        <v>2</v>
      </c>
      <c r="O2" s="4" t="s">
        <v>1</v>
      </c>
    </row>
    <row r="3" spans="1:15">
      <c r="A3" s="5">
        <v>0.99</v>
      </c>
      <c r="B3" s="1">
        <v>24</v>
      </c>
      <c r="C3" s="1">
        <v>13</v>
      </c>
      <c r="D3" s="1">
        <v>71</v>
      </c>
      <c r="E3" s="1">
        <v>36</v>
      </c>
      <c r="F3" s="1">
        <v>36</v>
      </c>
      <c r="G3" s="1">
        <v>90</v>
      </c>
      <c r="H3" s="1">
        <v>261</v>
      </c>
      <c r="I3">
        <v>142</v>
      </c>
      <c r="J3">
        <v>56</v>
      </c>
      <c r="K3">
        <v>14</v>
      </c>
      <c r="L3">
        <v>2</v>
      </c>
      <c r="M3">
        <v>0</v>
      </c>
      <c r="N3" s="1">
        <f t="shared" ref="N3:N8" si="0">SUM(B3:M3)</f>
        <v>745</v>
      </c>
      <c r="O3" s="1">
        <f t="shared" ref="O3" si="1">SUM(H3:J3)</f>
        <v>459</v>
      </c>
    </row>
    <row r="4" spans="1:15">
      <c r="A4" s="4">
        <v>0.9</v>
      </c>
      <c r="B4" s="1">
        <v>24</v>
      </c>
      <c r="C4" s="1">
        <v>13</v>
      </c>
      <c r="D4" s="1">
        <v>71</v>
      </c>
      <c r="E4" s="1">
        <v>36</v>
      </c>
      <c r="F4" s="1">
        <v>36</v>
      </c>
      <c r="G4" s="1">
        <v>90</v>
      </c>
      <c r="H4" s="1">
        <v>261</v>
      </c>
      <c r="I4">
        <v>205</v>
      </c>
      <c r="J4">
        <v>77</v>
      </c>
      <c r="K4">
        <v>17</v>
      </c>
      <c r="L4">
        <v>4</v>
      </c>
      <c r="M4">
        <v>2</v>
      </c>
      <c r="N4" s="1">
        <f t="shared" si="0"/>
        <v>836</v>
      </c>
      <c r="O4" s="1">
        <f>SUM(H4:J4)</f>
        <v>543</v>
      </c>
    </row>
    <row r="5" spans="1:15">
      <c r="A5" s="4">
        <v>0.75</v>
      </c>
      <c r="B5" s="1">
        <v>24</v>
      </c>
      <c r="C5" s="1">
        <v>13</v>
      </c>
      <c r="D5" s="1">
        <v>71</v>
      </c>
      <c r="E5" s="1">
        <v>36</v>
      </c>
      <c r="F5" s="1">
        <v>36</v>
      </c>
      <c r="G5" s="1">
        <v>90</v>
      </c>
      <c r="H5" s="1">
        <v>261</v>
      </c>
      <c r="I5">
        <v>230</v>
      </c>
      <c r="J5">
        <v>95</v>
      </c>
      <c r="K5">
        <v>18</v>
      </c>
      <c r="L5">
        <v>5</v>
      </c>
      <c r="M5">
        <v>2</v>
      </c>
      <c r="N5" s="1">
        <f t="shared" si="0"/>
        <v>881</v>
      </c>
      <c r="O5" s="1">
        <f>SUM(H5:J5)</f>
        <v>586</v>
      </c>
    </row>
    <row r="6" spans="1:15">
      <c r="A6" s="4">
        <v>0.5</v>
      </c>
      <c r="B6" s="1">
        <v>24</v>
      </c>
      <c r="C6" s="1">
        <v>13</v>
      </c>
      <c r="D6" s="1">
        <v>71</v>
      </c>
      <c r="E6" s="1">
        <v>36</v>
      </c>
      <c r="F6" s="1">
        <v>36</v>
      </c>
      <c r="G6" s="1">
        <v>90</v>
      </c>
      <c r="H6" s="1">
        <v>261</v>
      </c>
      <c r="I6">
        <v>250</v>
      </c>
      <c r="J6">
        <v>100</v>
      </c>
      <c r="K6">
        <v>19</v>
      </c>
      <c r="L6">
        <v>7</v>
      </c>
      <c r="M6">
        <v>4</v>
      </c>
      <c r="N6" s="1">
        <f t="shared" si="0"/>
        <v>911</v>
      </c>
      <c r="O6" s="1">
        <f>SUM(H6:J6)</f>
        <v>611</v>
      </c>
    </row>
    <row r="7" spans="1:15">
      <c r="A7" s="4">
        <v>0.25</v>
      </c>
      <c r="B7" s="1">
        <v>24</v>
      </c>
      <c r="C7" s="1">
        <v>13</v>
      </c>
      <c r="D7" s="1">
        <v>71</v>
      </c>
      <c r="E7" s="1">
        <v>36</v>
      </c>
      <c r="F7" s="1">
        <v>36</v>
      </c>
      <c r="G7" s="1">
        <v>90</v>
      </c>
      <c r="H7" s="1">
        <v>261</v>
      </c>
      <c r="I7">
        <v>281</v>
      </c>
      <c r="J7">
        <v>112</v>
      </c>
      <c r="K7">
        <v>24</v>
      </c>
      <c r="L7">
        <v>8</v>
      </c>
      <c r="M7">
        <v>5</v>
      </c>
      <c r="N7" s="1">
        <f t="shared" si="0"/>
        <v>961</v>
      </c>
      <c r="O7" s="1">
        <f>SUM(H7:J7)</f>
        <v>654</v>
      </c>
    </row>
    <row r="8" spans="1:15">
      <c r="A8" s="4">
        <v>0.1</v>
      </c>
      <c r="B8" s="1">
        <v>24</v>
      </c>
      <c r="C8" s="1">
        <v>13</v>
      </c>
      <c r="D8" s="1">
        <v>71</v>
      </c>
      <c r="E8" s="1">
        <v>36</v>
      </c>
      <c r="F8" s="1">
        <v>36</v>
      </c>
      <c r="G8" s="1">
        <v>90</v>
      </c>
      <c r="H8" s="1">
        <v>261</v>
      </c>
      <c r="I8">
        <v>300</v>
      </c>
      <c r="J8">
        <v>130</v>
      </c>
      <c r="K8">
        <v>29</v>
      </c>
      <c r="L8">
        <v>10</v>
      </c>
      <c r="M8">
        <v>6</v>
      </c>
      <c r="N8" s="1">
        <f t="shared" si="0"/>
        <v>1006</v>
      </c>
      <c r="O8" s="1">
        <f>SUM(H8:J8)</f>
        <v>691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0</v>
      </c>
      <c r="N9" s="2">
        <v>1909</v>
      </c>
      <c r="O9" s="1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Dec1</vt:lpstr>
      <vt:lpstr>Jan1</vt:lpstr>
      <vt:lpstr>Feb1</vt:lpstr>
      <vt:lpstr>Mar1</vt:lpstr>
      <vt:lpstr>Apr1</vt:lpstr>
      <vt:lpstr>May1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Evelyn Murdoch</cp:lastModifiedBy>
  <dcterms:created xsi:type="dcterms:W3CDTF">2021-12-13T20:33:57Z</dcterms:created>
  <dcterms:modified xsi:type="dcterms:W3CDTF">2021-12-17T02:38:56Z</dcterms:modified>
</cp:coreProperties>
</file>