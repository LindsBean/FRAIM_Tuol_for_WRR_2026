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SJWSI_Forecasts/"/>
    </mc:Choice>
  </mc:AlternateContent>
  <xr:revisionPtr revIDLastSave="0" documentId="13_ncr:1_{98EBB7FD-A6C7-294A-8703-65D05D4536BB}" xr6:coauthVersionLast="47" xr6:coauthVersionMax="47" xr10:uidLastSave="{00000000-0000-0000-0000-000000000000}"/>
  <bookViews>
    <workbookView xWindow="6700" yWindow="1980" windowWidth="21560" windowHeight="15040" activeTab="3" xr2:uid="{E3464FCA-350C-0642-85C6-D26DFC4161D1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6" r:id="rId6"/>
    <sheet name="Sheet4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4" l="1"/>
  <c r="R13" i="4"/>
  <c r="R14" i="4"/>
  <c r="R15" i="4"/>
  <c r="R16" i="4"/>
  <c r="R11" i="4"/>
  <c r="R4" i="4"/>
  <c r="R4" i="6"/>
  <c r="R5" i="6"/>
  <c r="R6" i="6"/>
  <c r="R7" i="6"/>
  <c r="R8" i="6"/>
  <c r="R3" i="6"/>
  <c r="O4" i="6"/>
  <c r="O8" i="6"/>
  <c r="P8" i="6" s="1"/>
  <c r="O7" i="6"/>
  <c r="P7" i="6" s="1"/>
  <c r="O6" i="6"/>
  <c r="P6" i="6" s="1"/>
  <c r="O5" i="6"/>
  <c r="P5" i="6" s="1"/>
  <c r="P4" i="6"/>
  <c r="O3" i="6"/>
  <c r="P3" i="6" s="1"/>
  <c r="R4" i="5"/>
  <c r="R5" i="5"/>
  <c r="R6" i="5"/>
  <c r="R7" i="5"/>
  <c r="R8" i="5"/>
  <c r="R3" i="5"/>
  <c r="Q3" i="5"/>
  <c r="O3" i="5"/>
  <c r="P3" i="5" s="1"/>
  <c r="P8" i="5"/>
  <c r="P7" i="5"/>
  <c r="Q6" i="5"/>
  <c r="P6" i="5"/>
  <c r="P5" i="5"/>
  <c r="P4" i="5"/>
  <c r="Q4" i="5" s="1"/>
  <c r="Q4" i="4"/>
  <c r="Q5" i="4"/>
  <c r="Q6" i="4"/>
  <c r="Q7" i="4"/>
  <c r="Q8" i="4"/>
  <c r="Q3" i="4"/>
  <c r="R5" i="4"/>
  <c r="R6" i="4"/>
  <c r="R7" i="4"/>
  <c r="R8" i="4"/>
  <c r="R3" i="4"/>
  <c r="O4" i="5"/>
  <c r="O5" i="5"/>
  <c r="O6" i="5"/>
  <c r="O7" i="5"/>
  <c r="O8" i="5"/>
  <c r="O3" i="4"/>
  <c r="P4" i="4"/>
  <c r="P5" i="4"/>
  <c r="P6" i="4"/>
  <c r="P7" i="4"/>
  <c r="P8" i="4"/>
  <c r="P3" i="4"/>
  <c r="O4" i="4"/>
  <c r="O5" i="4"/>
  <c r="O6" i="4"/>
  <c r="O7" i="4"/>
  <c r="O8" i="4"/>
  <c r="O4" i="1"/>
  <c r="O5" i="1"/>
  <c r="O6" i="1"/>
  <c r="O7" i="1"/>
  <c r="O8" i="1"/>
  <c r="O3" i="1"/>
  <c r="O4" i="3"/>
  <c r="O5" i="3"/>
  <c r="O6" i="3"/>
  <c r="O7" i="3"/>
  <c r="O8" i="3"/>
  <c r="O3" i="3"/>
  <c r="O4" i="2"/>
  <c r="O5" i="2"/>
  <c r="O6" i="2"/>
  <c r="O7" i="2"/>
  <c r="O8" i="2"/>
  <c r="O3" i="2"/>
  <c r="N8" i="6"/>
  <c r="N7" i="6"/>
  <c r="N6" i="6"/>
  <c r="N5" i="6"/>
  <c r="N4" i="6"/>
  <c r="N3" i="6"/>
  <c r="N8" i="5"/>
  <c r="N7" i="5"/>
  <c r="N6" i="5"/>
  <c r="N5" i="5"/>
  <c r="N4" i="5"/>
  <c r="N3" i="5"/>
  <c r="N8" i="4"/>
  <c r="N7" i="4"/>
  <c r="N6" i="4"/>
  <c r="N5" i="4"/>
  <c r="N4" i="4"/>
  <c r="N3" i="4"/>
  <c r="N8" i="3"/>
  <c r="N7" i="3"/>
  <c r="N6" i="3"/>
  <c r="N5" i="3"/>
  <c r="N4" i="3"/>
  <c r="N3" i="3"/>
  <c r="N8" i="2"/>
  <c r="N7" i="2"/>
  <c r="N6" i="2"/>
  <c r="N5" i="2"/>
  <c r="N4" i="2"/>
  <c r="N3" i="2"/>
  <c r="N8" i="1"/>
  <c r="N7" i="1"/>
  <c r="N6" i="1"/>
  <c r="N5" i="1"/>
  <c r="N4" i="1"/>
  <c r="N3" i="1"/>
  <c r="Q4" i="6" l="1"/>
  <c r="Q6" i="6"/>
  <c r="Q3" i="6"/>
  <c r="Q5" i="6"/>
  <c r="Q7" i="6"/>
  <c r="Q8" i="6"/>
  <c r="Q5" i="5"/>
  <c r="Q7" i="5"/>
  <c r="Q8" i="5"/>
</calcChain>
</file>

<file path=xl/sharedStrings.xml><?xml version="1.0" encoding="utf-8"?>
<sst xmlns="http://schemas.openxmlformats.org/spreadsheetml/2006/main" count="226" uniqueCount="45">
  <si>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</si>
  <si>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</si>
  <si>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</si>
  <si>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</si>
  <si>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</si>
  <si>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</si>
  <si>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</si>
  <si>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</si>
  <si>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</si>
  <si>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</si>
  <si>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</si>
  <si>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</si>
  <si>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</si>
  <si>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</si>
  <si>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</si>
  <si>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</si>
  <si>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</si>
  <si>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 xml:space="preserve">1991-2020 avg </t>
  </si>
  <si>
    <t>WY % of avg</t>
  </si>
  <si>
    <t>Ma</t>
  </si>
  <si>
    <t>Au</t>
  </si>
  <si>
    <t>Se</t>
  </si>
  <si>
    <t>1991-2020 avg</t>
  </si>
  <si>
    <t>Tuolumne River below La Grange Reservoir Unimpaired Flow [tan</t>
  </si>
  <si>
    <t>1991-2020 avg Merced River below Merced Falls Unimpaired Flow (below Lake McClure)</t>
  </si>
  <si>
    <t>[tan</t>
  </si>
  <si>
    <t>San Joaquin River inflow to Millerton Lake Unimpaired Flow [tan</t>
  </si>
  <si>
    <t>1991-2020 avg Sum of above Unimpaired Flows in San Joaquin River Tributaries [tan</t>
  </si>
  <si>
    <t>Eight River Index [tan</t>
  </si>
  <si>
    <t>Previous Month 8 River Index</t>
  </si>
  <si>
    <t>A r-Jul</t>
  </si>
  <si>
    <t>r</t>
  </si>
  <si>
    <t>J ul</t>
  </si>
  <si>
    <t>1 007</t>
  </si>
  <si>
    <t>2022 SAN JOAQUIN RIVER WATER YEAR FORECAST BREAKDOWN April 1, 2022 Stanislaus River below Goodwin Reservoir Unimpaired Flow [tan</t>
  </si>
  <si>
    <t>1 470</t>
  </si>
  <si>
    <t>957 1970</t>
  </si>
  <si>
    <t>1411 taf</t>
  </si>
  <si>
    <t>Snow Survey Siwsi.xls summary 4/8/2022 2:55 PM</t>
  </si>
  <si>
    <t>February-Jun</t>
  </si>
  <si>
    <t>Feb-Jun</t>
  </si>
  <si>
    <t>40% F-J</t>
  </si>
  <si>
    <t>FlowBudget</t>
  </si>
  <si>
    <t>Mar-Jun 40%</t>
  </si>
  <si>
    <t>Apr-Jun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</si>
</sst>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  <font>
      <sz val="9"/>
      <color rgb="FF000000"/>
      <name val="ArialMT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0" fontId="6" fillId="0" borderId="0" xfId="0" applyFont="1"/>
    <xf numFmtId="1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5A25-0933-2246-82A4-E3359A6AE3B8}">
  <dimension ref="A1:O9"/>
  <sheetViews>
    <sheetView workbookViewId="0">
      <selection activeCell="B3" sqref="B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84</v>
      </c>
      <c r="C3" s="3">
        <v>59</v>
      </c>
      <c r="D3" s="3">
        <v>14</v>
      </c>
      <c r="E3">
        <v>19</v>
      </c>
      <c r="F3">
        <v>33</v>
      </c>
      <c r="G3">
        <v>53</v>
      </c>
      <c r="H3">
        <v>100</v>
      </c>
      <c r="I3">
        <v>135</v>
      </c>
      <c r="J3">
        <v>40</v>
      </c>
      <c r="K3">
        <v>15</v>
      </c>
      <c r="L3">
        <v>5</v>
      </c>
      <c r="M3">
        <v>4</v>
      </c>
      <c r="N3" s="3">
        <f t="shared" ref="N3:N8" si="0">SUM(B3:M3)</f>
        <v>561</v>
      </c>
      <c r="O3" s="3">
        <f>SUM(H3:J3)</f>
        <v>275</v>
      </c>
    </row>
    <row r="4" spans="1:15">
      <c r="A4" s="2">
        <v>0.9</v>
      </c>
      <c r="B4" s="3">
        <v>84</v>
      </c>
      <c r="C4" s="3">
        <v>59</v>
      </c>
      <c r="D4" s="3">
        <v>25</v>
      </c>
      <c r="E4">
        <v>36</v>
      </c>
      <c r="F4">
        <v>64</v>
      </c>
      <c r="G4">
        <v>100</v>
      </c>
      <c r="H4">
        <v>159</v>
      </c>
      <c r="I4">
        <v>213</v>
      </c>
      <c r="J4">
        <v>114</v>
      </c>
      <c r="K4">
        <v>24</v>
      </c>
      <c r="L4">
        <v>9</v>
      </c>
      <c r="M4">
        <v>8</v>
      </c>
      <c r="N4" s="3">
        <f t="shared" si="0"/>
        <v>895</v>
      </c>
      <c r="O4" s="3">
        <f t="shared" ref="O4:O8" si="1">SUM(H4:J4)</f>
        <v>486</v>
      </c>
    </row>
    <row r="5" spans="1:15">
      <c r="A5" s="2">
        <v>0.75</v>
      </c>
      <c r="B5" s="3">
        <v>84</v>
      </c>
      <c r="C5" s="3">
        <v>59</v>
      </c>
      <c r="D5" s="3">
        <v>47</v>
      </c>
      <c r="E5">
        <v>69</v>
      </c>
      <c r="F5">
        <v>96</v>
      </c>
      <c r="G5">
        <v>130</v>
      </c>
      <c r="H5">
        <v>185</v>
      </c>
      <c r="I5">
        <v>292</v>
      </c>
      <c r="J5">
        <v>200</v>
      </c>
      <c r="K5">
        <v>48</v>
      </c>
      <c r="L5">
        <v>17</v>
      </c>
      <c r="M5">
        <v>12</v>
      </c>
      <c r="N5" s="3">
        <f t="shared" si="0"/>
        <v>1239</v>
      </c>
      <c r="O5" s="3">
        <f t="shared" si="1"/>
        <v>677</v>
      </c>
    </row>
    <row r="6" spans="1:15">
      <c r="A6" s="2">
        <v>0.5</v>
      </c>
      <c r="B6" s="3">
        <v>84</v>
      </c>
      <c r="C6" s="3">
        <v>59</v>
      </c>
      <c r="D6" s="3">
        <v>84</v>
      </c>
      <c r="E6">
        <v>124</v>
      </c>
      <c r="F6">
        <v>137</v>
      </c>
      <c r="G6">
        <v>168</v>
      </c>
      <c r="H6">
        <v>222</v>
      </c>
      <c r="I6">
        <v>369</v>
      </c>
      <c r="J6">
        <v>294</v>
      </c>
      <c r="K6">
        <v>90</v>
      </c>
      <c r="L6">
        <v>28</v>
      </c>
      <c r="M6">
        <v>17</v>
      </c>
      <c r="N6" s="3">
        <f t="shared" si="0"/>
        <v>1676</v>
      </c>
      <c r="O6" s="3">
        <f t="shared" si="1"/>
        <v>885</v>
      </c>
    </row>
    <row r="7" spans="1:15">
      <c r="A7" s="2">
        <v>0.25</v>
      </c>
      <c r="B7" s="3">
        <v>84</v>
      </c>
      <c r="C7" s="3">
        <v>59</v>
      </c>
      <c r="D7" s="3">
        <v>125</v>
      </c>
      <c r="E7">
        <v>225</v>
      </c>
      <c r="F7">
        <v>198</v>
      </c>
      <c r="G7">
        <v>238</v>
      </c>
      <c r="H7">
        <v>262</v>
      </c>
      <c r="I7">
        <v>451</v>
      </c>
      <c r="J7">
        <v>426</v>
      </c>
      <c r="K7">
        <v>176</v>
      </c>
      <c r="L7">
        <v>44</v>
      </c>
      <c r="M7">
        <v>22</v>
      </c>
      <c r="N7" s="3">
        <f t="shared" si="0"/>
        <v>2310</v>
      </c>
      <c r="O7" s="3">
        <f t="shared" si="1"/>
        <v>1139</v>
      </c>
    </row>
    <row r="8" spans="1:15">
      <c r="A8" s="2">
        <v>0.1</v>
      </c>
      <c r="B8" s="3">
        <v>84</v>
      </c>
      <c r="C8" s="3">
        <v>59</v>
      </c>
      <c r="D8" s="3">
        <v>159</v>
      </c>
      <c r="E8">
        <v>305</v>
      </c>
      <c r="F8">
        <v>226</v>
      </c>
      <c r="G8">
        <v>287</v>
      </c>
      <c r="H8">
        <v>322</v>
      </c>
      <c r="I8">
        <v>525</v>
      </c>
      <c r="J8">
        <v>549</v>
      </c>
      <c r="K8">
        <v>309</v>
      </c>
      <c r="L8">
        <v>61</v>
      </c>
      <c r="M8">
        <v>25</v>
      </c>
      <c r="N8" s="3">
        <f t="shared" si="0"/>
        <v>2911</v>
      </c>
      <c r="O8" s="3">
        <f t="shared" si="1"/>
        <v>1396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17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6D6-9490-F042-A5DA-B62F1766AAAB}">
  <dimension ref="A1:O9"/>
  <sheetViews>
    <sheetView workbookViewId="0">
      <selection activeCell="L16" sqref="L16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84</v>
      </c>
      <c r="C3" s="3">
        <v>59</v>
      </c>
      <c r="D3" s="3">
        <v>118</v>
      </c>
      <c r="E3" s="3">
        <v>64</v>
      </c>
      <c r="F3" s="3">
        <v>78</v>
      </c>
      <c r="G3" s="3">
        <v>125</v>
      </c>
      <c r="H3" s="3">
        <v>161</v>
      </c>
      <c r="I3" s="3">
        <v>246</v>
      </c>
      <c r="J3" s="3">
        <v>139</v>
      </c>
      <c r="K3" s="3">
        <v>34</v>
      </c>
      <c r="L3" s="3">
        <v>11</v>
      </c>
      <c r="M3" s="3">
        <v>6</v>
      </c>
      <c r="N3" s="3">
        <f t="shared" ref="N3:N8" si="0">SUM(B3:M3)</f>
        <v>1125</v>
      </c>
      <c r="O3" s="3">
        <f>SUM(H3:J3)</f>
        <v>546</v>
      </c>
    </row>
    <row r="4" spans="1:15">
      <c r="A4" s="2">
        <v>0.9</v>
      </c>
      <c r="B4" s="3">
        <v>84</v>
      </c>
      <c r="C4" s="3">
        <v>59</v>
      </c>
      <c r="D4" s="3">
        <v>118</v>
      </c>
      <c r="E4" s="3">
        <v>104</v>
      </c>
      <c r="F4" s="3">
        <v>111</v>
      </c>
      <c r="G4" s="3">
        <v>171</v>
      </c>
      <c r="H4" s="3">
        <v>216</v>
      </c>
      <c r="I4" s="3">
        <v>329</v>
      </c>
      <c r="J4" s="3">
        <v>230</v>
      </c>
      <c r="K4" s="3">
        <v>80</v>
      </c>
      <c r="L4" s="3">
        <v>14</v>
      </c>
      <c r="M4" s="3">
        <v>9</v>
      </c>
      <c r="N4" s="3">
        <f t="shared" si="0"/>
        <v>1525</v>
      </c>
      <c r="O4" s="3">
        <f t="shared" ref="O4:O8" si="1">SUM(H4:J4)</f>
        <v>775</v>
      </c>
    </row>
    <row r="5" spans="1:15">
      <c r="A5" s="2">
        <v>0.75</v>
      </c>
      <c r="B5" s="3">
        <v>84</v>
      </c>
      <c r="C5" s="3">
        <v>59</v>
      </c>
      <c r="D5" s="3">
        <v>118</v>
      </c>
      <c r="E5" s="3">
        <v>133</v>
      </c>
      <c r="F5" s="3">
        <v>135</v>
      </c>
      <c r="G5" s="3">
        <v>200</v>
      </c>
      <c r="H5" s="3">
        <v>250</v>
      </c>
      <c r="I5" s="3">
        <v>387</v>
      </c>
      <c r="J5" s="3">
        <v>294</v>
      </c>
      <c r="K5" s="3">
        <v>109</v>
      </c>
      <c r="L5" s="3">
        <v>20</v>
      </c>
      <c r="M5" s="3">
        <v>11</v>
      </c>
      <c r="N5" s="3">
        <f t="shared" si="0"/>
        <v>1800</v>
      </c>
      <c r="O5" s="3">
        <f t="shared" si="1"/>
        <v>931</v>
      </c>
    </row>
    <row r="6" spans="1:15">
      <c r="A6" s="2">
        <v>0.5</v>
      </c>
      <c r="B6" s="3">
        <v>84</v>
      </c>
      <c r="C6" s="3">
        <v>59</v>
      </c>
      <c r="D6" s="3">
        <v>118</v>
      </c>
      <c r="E6" s="3">
        <v>177</v>
      </c>
      <c r="F6" s="3">
        <v>176</v>
      </c>
      <c r="G6" s="3">
        <v>242</v>
      </c>
      <c r="H6" s="3">
        <v>294</v>
      </c>
      <c r="I6" s="3">
        <v>485</v>
      </c>
      <c r="J6" s="3">
        <v>384</v>
      </c>
      <c r="K6" s="3">
        <v>137</v>
      </c>
      <c r="L6" s="3">
        <v>39</v>
      </c>
      <c r="M6" s="3">
        <v>16</v>
      </c>
      <c r="N6" s="3">
        <f t="shared" si="0"/>
        <v>2211</v>
      </c>
      <c r="O6" s="3">
        <f t="shared" si="1"/>
        <v>1163</v>
      </c>
    </row>
    <row r="7" spans="1:15">
      <c r="A7" s="2">
        <v>0.25</v>
      </c>
      <c r="B7" s="3">
        <v>84</v>
      </c>
      <c r="C7" s="3">
        <v>59</v>
      </c>
      <c r="D7" s="3">
        <v>118</v>
      </c>
      <c r="E7" s="3">
        <v>242</v>
      </c>
      <c r="F7" s="3">
        <v>236</v>
      </c>
      <c r="G7" s="3">
        <v>296</v>
      </c>
      <c r="H7" s="3">
        <v>363</v>
      </c>
      <c r="I7" s="3">
        <v>613</v>
      </c>
      <c r="J7" s="3">
        <v>508</v>
      </c>
      <c r="K7" s="3">
        <v>196</v>
      </c>
      <c r="L7" s="3">
        <v>67</v>
      </c>
      <c r="M7" s="3">
        <v>23</v>
      </c>
      <c r="N7" s="3">
        <f t="shared" si="0"/>
        <v>2805</v>
      </c>
      <c r="O7" s="3">
        <f t="shared" si="1"/>
        <v>1484</v>
      </c>
    </row>
    <row r="8" spans="1:15">
      <c r="A8" s="2">
        <v>0.1</v>
      </c>
      <c r="B8" s="3">
        <v>84</v>
      </c>
      <c r="C8" s="3">
        <v>59</v>
      </c>
      <c r="D8" s="3">
        <v>118</v>
      </c>
      <c r="E8" s="3">
        <v>322</v>
      </c>
      <c r="F8" s="3">
        <v>313</v>
      </c>
      <c r="G8" s="3">
        <v>378</v>
      </c>
      <c r="H8" s="3">
        <v>474</v>
      </c>
      <c r="I8" s="3">
        <v>713</v>
      </c>
      <c r="J8" s="3">
        <v>610</v>
      </c>
      <c r="K8" s="3">
        <v>358</v>
      </c>
      <c r="L8" s="3">
        <v>86</v>
      </c>
      <c r="M8" s="3">
        <v>36</v>
      </c>
      <c r="N8" s="3">
        <f t="shared" si="0"/>
        <v>3551</v>
      </c>
      <c r="O8" s="3">
        <f t="shared" si="1"/>
        <v>1797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11EE-B2D6-4343-B5BC-50526D02F88B}">
  <dimension ref="A1:O9"/>
  <sheetViews>
    <sheetView workbookViewId="0">
      <selection activeCell="M7" sqref="M7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>
        <v>84</v>
      </c>
      <c r="C3">
        <v>59</v>
      </c>
      <c r="D3">
        <v>118</v>
      </c>
      <c r="E3">
        <v>71</v>
      </c>
      <c r="F3">
        <v>60</v>
      </c>
      <c r="G3">
        <v>95</v>
      </c>
      <c r="H3">
        <v>127</v>
      </c>
      <c r="I3">
        <v>189</v>
      </c>
      <c r="J3">
        <v>95</v>
      </c>
      <c r="K3">
        <v>19</v>
      </c>
      <c r="L3">
        <v>7</v>
      </c>
      <c r="M3">
        <v>2</v>
      </c>
      <c r="N3" s="3">
        <f t="shared" ref="N3:N8" si="0">SUM(B3:M3)</f>
        <v>926</v>
      </c>
      <c r="O3" s="3">
        <f>SUM(H3:J3)</f>
        <v>411</v>
      </c>
    </row>
    <row r="4" spans="1:15">
      <c r="A4" s="2">
        <v>0.9</v>
      </c>
      <c r="B4">
        <v>84</v>
      </c>
      <c r="C4">
        <v>59</v>
      </c>
      <c r="D4">
        <v>118</v>
      </c>
      <c r="E4">
        <v>71</v>
      </c>
      <c r="F4">
        <v>69</v>
      </c>
      <c r="G4">
        <v>110</v>
      </c>
      <c r="H4">
        <v>170</v>
      </c>
      <c r="I4">
        <v>275</v>
      </c>
      <c r="J4">
        <v>160</v>
      </c>
      <c r="K4">
        <v>35</v>
      </c>
      <c r="L4">
        <v>10</v>
      </c>
      <c r="M4">
        <v>4</v>
      </c>
      <c r="N4" s="3">
        <f t="shared" si="0"/>
        <v>1165</v>
      </c>
      <c r="O4" s="3">
        <f t="shared" ref="O4:O8" si="1">SUM(H4:J4)</f>
        <v>605</v>
      </c>
    </row>
    <row r="5" spans="1:15">
      <c r="A5" s="2">
        <v>0.75</v>
      </c>
      <c r="B5">
        <v>84</v>
      </c>
      <c r="C5">
        <v>59</v>
      </c>
      <c r="D5">
        <v>118</v>
      </c>
      <c r="E5">
        <v>71</v>
      </c>
      <c r="F5">
        <v>81</v>
      </c>
      <c r="G5">
        <v>150</v>
      </c>
      <c r="H5">
        <v>210</v>
      </c>
      <c r="I5">
        <v>335</v>
      </c>
      <c r="J5">
        <v>210</v>
      </c>
      <c r="K5">
        <v>45</v>
      </c>
      <c r="L5">
        <v>12</v>
      </c>
      <c r="M5">
        <v>5</v>
      </c>
      <c r="N5" s="3">
        <f t="shared" si="0"/>
        <v>1380</v>
      </c>
      <c r="O5" s="3">
        <f t="shared" si="1"/>
        <v>755</v>
      </c>
    </row>
    <row r="6" spans="1:15">
      <c r="A6" s="2">
        <v>0.5</v>
      </c>
      <c r="B6">
        <v>84</v>
      </c>
      <c r="C6">
        <v>59</v>
      </c>
      <c r="D6">
        <v>118</v>
      </c>
      <c r="E6">
        <v>71</v>
      </c>
      <c r="F6">
        <v>100</v>
      </c>
      <c r="G6">
        <v>208</v>
      </c>
      <c r="H6">
        <v>260</v>
      </c>
      <c r="I6">
        <v>430</v>
      </c>
      <c r="J6">
        <v>310</v>
      </c>
      <c r="K6">
        <v>60</v>
      </c>
      <c r="L6">
        <v>14</v>
      </c>
      <c r="M6">
        <v>6</v>
      </c>
      <c r="N6" s="3">
        <f t="shared" si="0"/>
        <v>1720</v>
      </c>
      <c r="O6" s="3">
        <f t="shared" si="1"/>
        <v>1000</v>
      </c>
    </row>
    <row r="7" spans="1:15">
      <c r="A7" s="2">
        <v>0.25</v>
      </c>
      <c r="B7">
        <v>84</v>
      </c>
      <c r="C7">
        <v>59</v>
      </c>
      <c r="D7">
        <v>118</v>
      </c>
      <c r="E7">
        <v>71</v>
      </c>
      <c r="F7">
        <v>160</v>
      </c>
      <c r="G7">
        <v>250</v>
      </c>
      <c r="H7">
        <v>315</v>
      </c>
      <c r="I7">
        <v>517</v>
      </c>
      <c r="J7">
        <v>408</v>
      </c>
      <c r="K7">
        <v>145</v>
      </c>
      <c r="L7">
        <v>39</v>
      </c>
      <c r="M7">
        <v>14</v>
      </c>
      <c r="N7" s="3">
        <f t="shared" si="0"/>
        <v>2180</v>
      </c>
      <c r="O7" s="3">
        <f t="shared" si="1"/>
        <v>1240</v>
      </c>
    </row>
    <row r="8" spans="1:15">
      <c r="A8" s="2">
        <v>0.1</v>
      </c>
      <c r="B8">
        <v>84</v>
      </c>
      <c r="C8">
        <v>59</v>
      </c>
      <c r="D8">
        <v>118</v>
      </c>
      <c r="E8">
        <v>71</v>
      </c>
      <c r="F8">
        <v>200</v>
      </c>
      <c r="G8">
        <v>282</v>
      </c>
      <c r="H8">
        <v>385</v>
      </c>
      <c r="I8">
        <v>685</v>
      </c>
      <c r="J8">
        <v>555</v>
      </c>
      <c r="K8">
        <v>205</v>
      </c>
      <c r="L8">
        <v>64</v>
      </c>
      <c r="M8">
        <v>22</v>
      </c>
      <c r="N8" s="3">
        <f t="shared" si="0"/>
        <v>2730</v>
      </c>
      <c r="O8" s="3">
        <f t="shared" si="1"/>
        <v>1625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8773-71F6-6A41-97EF-81C258C8C35D}">
  <dimension ref="A1:R16"/>
  <sheetViews>
    <sheetView tabSelected="1" topLeftCell="C1" workbookViewId="0">
      <selection activeCell="R17" sqref="R17"/>
    </sheetView>
  </sheetViews>
  <sheetFormatPr baseColWidth="10" defaultRowHeight="16"/>
  <sheetData>
    <row r="1" spans="1:18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8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39</v>
      </c>
      <c r="P2" s="2" t="s">
        <v>41</v>
      </c>
      <c r="Q2" s="2" t="s">
        <v>42</v>
      </c>
      <c r="R2" s="2" t="s">
        <v>43</v>
      </c>
    </row>
    <row r="3" spans="1:18">
      <c r="A3" s="5">
        <v>0.99</v>
      </c>
      <c r="B3" s="10">
        <v>84</v>
      </c>
      <c r="C3" s="10">
        <v>59</v>
      </c>
      <c r="D3" s="10">
        <v>118</v>
      </c>
      <c r="E3" s="10">
        <v>71</v>
      </c>
      <c r="F3" s="10">
        <v>61</v>
      </c>
      <c r="G3" s="10">
        <v>58</v>
      </c>
      <c r="H3" s="10">
        <v>83</v>
      </c>
      <c r="I3" s="10">
        <v>110</v>
      </c>
      <c r="J3" s="10">
        <v>50</v>
      </c>
      <c r="K3" s="10">
        <v>12</v>
      </c>
      <c r="L3">
        <v>3</v>
      </c>
      <c r="M3" s="10">
        <v>1</v>
      </c>
      <c r="N3" s="3">
        <f t="shared" ref="N3:N8" si="0">SUM(B3:M3)</f>
        <v>710</v>
      </c>
      <c r="O3" s="12">
        <f>SUM(F3:J3)</f>
        <v>362</v>
      </c>
      <c r="P3">
        <f>O3*0.4</f>
        <v>144.80000000000001</v>
      </c>
      <c r="Q3">
        <f>P3+83.5</f>
        <v>228.3</v>
      </c>
      <c r="R3">
        <f>P3-24.4</f>
        <v>120.4</v>
      </c>
    </row>
    <row r="4" spans="1:18">
      <c r="A4" s="2">
        <v>0.9</v>
      </c>
      <c r="B4" s="10">
        <v>84</v>
      </c>
      <c r="C4" s="10">
        <v>59</v>
      </c>
      <c r="D4" s="10">
        <v>118</v>
      </c>
      <c r="E4" s="10">
        <v>71</v>
      </c>
      <c r="F4" s="10">
        <v>61</v>
      </c>
      <c r="G4" s="10">
        <v>75</v>
      </c>
      <c r="H4" s="10">
        <v>128</v>
      </c>
      <c r="I4" s="10">
        <v>192</v>
      </c>
      <c r="J4" s="10">
        <v>94</v>
      </c>
      <c r="K4" s="10">
        <v>16</v>
      </c>
      <c r="L4">
        <v>5</v>
      </c>
      <c r="M4">
        <v>2</v>
      </c>
      <c r="N4" s="3">
        <f t="shared" si="0"/>
        <v>905</v>
      </c>
      <c r="O4" s="12">
        <f t="shared" ref="O4:O8" si="1">SUM(F4:J4)</f>
        <v>550</v>
      </c>
      <c r="P4">
        <f t="shared" ref="P4:P8" si="2">O4*0.4</f>
        <v>220</v>
      </c>
      <c r="Q4">
        <f t="shared" ref="Q4:Q8" si="3">P4+83.5</f>
        <v>303.5</v>
      </c>
      <c r="R4">
        <f>P4-24.4</f>
        <v>195.6</v>
      </c>
    </row>
    <row r="5" spans="1:18">
      <c r="A5" s="2">
        <v>0.75</v>
      </c>
      <c r="B5" s="10">
        <v>84</v>
      </c>
      <c r="C5" s="10">
        <v>59</v>
      </c>
      <c r="D5" s="10">
        <v>118</v>
      </c>
      <c r="E5" s="10">
        <v>71</v>
      </c>
      <c r="F5" s="10">
        <v>61</v>
      </c>
      <c r="G5" s="10">
        <v>102</v>
      </c>
      <c r="H5" s="10">
        <v>174</v>
      </c>
      <c r="I5" s="10">
        <v>260</v>
      </c>
      <c r="J5" s="10">
        <v>125</v>
      </c>
      <c r="K5" s="10">
        <v>21</v>
      </c>
      <c r="L5">
        <v>7</v>
      </c>
      <c r="M5">
        <v>3</v>
      </c>
      <c r="N5" s="3">
        <f t="shared" si="0"/>
        <v>1085</v>
      </c>
      <c r="O5" s="12">
        <f t="shared" si="1"/>
        <v>722</v>
      </c>
      <c r="P5">
        <f t="shared" si="2"/>
        <v>288.8</v>
      </c>
      <c r="Q5">
        <f t="shared" si="3"/>
        <v>372.3</v>
      </c>
      <c r="R5">
        <f t="shared" ref="R4:R8" si="4">P5-24.4</f>
        <v>264.40000000000003</v>
      </c>
    </row>
    <row r="6" spans="1:18">
      <c r="A6" s="2">
        <v>0.5</v>
      </c>
      <c r="B6" s="10">
        <v>84</v>
      </c>
      <c r="C6" s="10">
        <v>59</v>
      </c>
      <c r="D6" s="10">
        <v>118</v>
      </c>
      <c r="E6" s="10">
        <v>71</v>
      </c>
      <c r="F6" s="10">
        <v>61</v>
      </c>
      <c r="G6" s="10">
        <v>130</v>
      </c>
      <c r="H6" s="10">
        <v>220</v>
      </c>
      <c r="I6" s="10">
        <v>330</v>
      </c>
      <c r="J6" s="10">
        <v>153</v>
      </c>
      <c r="K6" s="10">
        <v>27</v>
      </c>
      <c r="L6">
        <v>8</v>
      </c>
      <c r="M6">
        <v>4</v>
      </c>
      <c r="N6" s="3">
        <f t="shared" si="0"/>
        <v>1265</v>
      </c>
      <c r="O6" s="12">
        <f t="shared" si="1"/>
        <v>894</v>
      </c>
      <c r="P6">
        <f t="shared" si="2"/>
        <v>357.6</v>
      </c>
      <c r="Q6">
        <f t="shared" si="3"/>
        <v>441.1</v>
      </c>
      <c r="R6">
        <f t="shared" si="4"/>
        <v>333.20000000000005</v>
      </c>
    </row>
    <row r="7" spans="1:18">
      <c r="A7" s="2">
        <v>0.25</v>
      </c>
      <c r="B7" s="10">
        <v>84</v>
      </c>
      <c r="C7" s="10">
        <v>59</v>
      </c>
      <c r="D7" s="10">
        <v>118</v>
      </c>
      <c r="E7" s="10">
        <v>71</v>
      </c>
      <c r="F7" s="10">
        <v>61</v>
      </c>
      <c r="G7" s="10">
        <v>180</v>
      </c>
      <c r="H7" s="10">
        <v>263</v>
      </c>
      <c r="I7" s="10">
        <v>409</v>
      </c>
      <c r="J7" s="10">
        <v>265</v>
      </c>
      <c r="K7" s="10">
        <v>83</v>
      </c>
      <c r="L7" s="10">
        <v>15</v>
      </c>
      <c r="M7" s="10">
        <v>7</v>
      </c>
      <c r="N7" s="3">
        <f t="shared" si="0"/>
        <v>1615</v>
      </c>
      <c r="O7" s="12">
        <f t="shared" si="1"/>
        <v>1178</v>
      </c>
      <c r="P7">
        <f t="shared" si="2"/>
        <v>471.20000000000005</v>
      </c>
      <c r="Q7">
        <f t="shared" si="3"/>
        <v>554.70000000000005</v>
      </c>
      <c r="R7">
        <f t="shared" si="4"/>
        <v>446.80000000000007</v>
      </c>
    </row>
    <row r="8" spans="1:18">
      <c r="A8" s="2">
        <v>0.1</v>
      </c>
      <c r="B8" s="10">
        <v>84</v>
      </c>
      <c r="C8" s="10">
        <v>59</v>
      </c>
      <c r="D8" s="10">
        <v>118</v>
      </c>
      <c r="E8" s="10">
        <v>71</v>
      </c>
      <c r="F8" s="10">
        <v>61</v>
      </c>
      <c r="G8" s="10">
        <v>226</v>
      </c>
      <c r="H8" s="10">
        <v>306</v>
      </c>
      <c r="I8" s="10">
        <v>489</v>
      </c>
      <c r="J8" s="10">
        <v>377</v>
      </c>
      <c r="K8" s="10">
        <v>138</v>
      </c>
      <c r="L8" s="10">
        <v>21</v>
      </c>
      <c r="M8" s="10">
        <v>10</v>
      </c>
      <c r="N8" s="3">
        <f t="shared" si="0"/>
        <v>1960</v>
      </c>
      <c r="O8" s="12">
        <f t="shared" si="1"/>
        <v>1459</v>
      </c>
      <c r="P8">
        <f t="shared" si="2"/>
        <v>583.6</v>
      </c>
      <c r="Q8">
        <f t="shared" si="3"/>
        <v>667.1</v>
      </c>
      <c r="R8">
        <f t="shared" si="4"/>
        <v>559.20000000000005</v>
      </c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  <row r="11" spans="1:18">
      <c r="R11">
        <f>SUM(G3:J3)*0.4</f>
        <v>120.4</v>
      </c>
    </row>
    <row r="12" spans="1:18">
      <c r="R12">
        <f t="shared" ref="R12:R17" si="5">SUM(G4:J4)*0.4</f>
        <v>195.60000000000002</v>
      </c>
    </row>
    <row r="13" spans="1:18">
      <c r="R13">
        <f t="shared" si="5"/>
        <v>264.40000000000003</v>
      </c>
    </row>
    <row r="14" spans="1:18">
      <c r="R14">
        <f t="shared" si="5"/>
        <v>333.20000000000005</v>
      </c>
    </row>
    <row r="15" spans="1:18">
      <c r="R15">
        <f t="shared" si="5"/>
        <v>446.8</v>
      </c>
    </row>
    <row r="16" spans="1:18">
      <c r="R16">
        <f t="shared" si="5"/>
        <v>559.20000000000005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4DE8-ADD5-2B43-9345-248AC7AA202A}">
  <dimension ref="A1:R24"/>
  <sheetViews>
    <sheetView topLeftCell="C1" workbookViewId="0">
      <selection activeCell="O2" sqref="O2:R8"/>
    </sheetView>
  </sheetViews>
  <sheetFormatPr baseColWidth="10" defaultRowHeight="16"/>
  <sheetData>
    <row r="1" spans="1:18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8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40</v>
      </c>
      <c r="P2" s="2" t="s">
        <v>41</v>
      </c>
      <c r="Q2" s="2" t="s">
        <v>42</v>
      </c>
      <c r="R2" s="2" t="s">
        <v>44</v>
      </c>
    </row>
    <row r="3" spans="1:18">
      <c r="A3" s="5">
        <v>0.99</v>
      </c>
      <c r="B3">
        <v>84</v>
      </c>
      <c r="C3">
        <v>59</v>
      </c>
      <c r="D3">
        <v>118</v>
      </c>
      <c r="E3">
        <v>71</v>
      </c>
      <c r="F3">
        <v>61</v>
      </c>
      <c r="G3">
        <v>112</v>
      </c>
      <c r="H3">
        <v>103</v>
      </c>
      <c r="I3">
        <v>126</v>
      </c>
      <c r="J3">
        <v>28</v>
      </c>
      <c r="K3">
        <v>8</v>
      </c>
      <c r="L3">
        <v>0</v>
      </c>
      <c r="M3">
        <v>0</v>
      </c>
      <c r="N3" s="3">
        <f t="shared" ref="N3:N8" si="0">SUM(B3:M3)</f>
        <v>770</v>
      </c>
      <c r="O3" s="3">
        <f>SUM(F3:J3)</f>
        <v>430</v>
      </c>
      <c r="P3">
        <f>O3*0.4</f>
        <v>172</v>
      </c>
      <c r="Q3">
        <f>P3+83.5</f>
        <v>255.5</v>
      </c>
      <c r="R3" s="13">
        <f>P3-69.2</f>
        <v>102.8</v>
      </c>
    </row>
    <row r="4" spans="1:18">
      <c r="A4" s="2">
        <v>0.9</v>
      </c>
      <c r="B4">
        <v>84</v>
      </c>
      <c r="C4">
        <v>59</v>
      </c>
      <c r="D4">
        <v>118</v>
      </c>
      <c r="E4">
        <v>71</v>
      </c>
      <c r="F4">
        <v>61</v>
      </c>
      <c r="G4">
        <v>112</v>
      </c>
      <c r="H4">
        <v>150</v>
      </c>
      <c r="I4">
        <v>175</v>
      </c>
      <c r="J4">
        <v>45</v>
      </c>
      <c r="K4">
        <v>10</v>
      </c>
      <c r="L4">
        <v>0</v>
      </c>
      <c r="M4">
        <v>0</v>
      </c>
      <c r="N4" s="3">
        <f t="shared" si="0"/>
        <v>885</v>
      </c>
      <c r="O4" s="3">
        <f t="shared" ref="O4:O8" si="1">SUM(F4:J4)</f>
        <v>543</v>
      </c>
      <c r="P4">
        <f t="shared" ref="P4:P8" si="2">O4*0.4</f>
        <v>217.20000000000002</v>
      </c>
      <c r="Q4">
        <f t="shared" ref="Q4:Q8" si="3">P4+83.5</f>
        <v>300.70000000000005</v>
      </c>
      <c r="R4" s="13">
        <f t="shared" ref="R4:R8" si="4">P4-69.2</f>
        <v>148</v>
      </c>
    </row>
    <row r="5" spans="1:18">
      <c r="A5" s="2">
        <v>0.75</v>
      </c>
      <c r="B5">
        <v>84</v>
      </c>
      <c r="C5">
        <v>59</v>
      </c>
      <c r="D5">
        <v>118</v>
      </c>
      <c r="E5">
        <v>71</v>
      </c>
      <c r="F5">
        <v>61</v>
      </c>
      <c r="G5">
        <v>112</v>
      </c>
      <c r="H5">
        <v>172</v>
      </c>
      <c r="I5">
        <v>210</v>
      </c>
      <c r="J5">
        <v>71</v>
      </c>
      <c r="K5">
        <v>14</v>
      </c>
      <c r="L5">
        <v>2</v>
      </c>
      <c r="M5">
        <v>1</v>
      </c>
      <c r="N5" s="3">
        <f t="shared" si="0"/>
        <v>975</v>
      </c>
      <c r="O5" s="3">
        <f t="shared" si="1"/>
        <v>626</v>
      </c>
      <c r="P5">
        <f t="shared" si="2"/>
        <v>250.4</v>
      </c>
      <c r="Q5">
        <f t="shared" si="3"/>
        <v>333.9</v>
      </c>
      <c r="R5" s="13">
        <f t="shared" si="4"/>
        <v>181.2</v>
      </c>
    </row>
    <row r="6" spans="1:18">
      <c r="A6" s="2">
        <v>0.5</v>
      </c>
      <c r="B6">
        <v>84</v>
      </c>
      <c r="C6">
        <v>59</v>
      </c>
      <c r="D6">
        <v>118</v>
      </c>
      <c r="E6">
        <v>71</v>
      </c>
      <c r="F6">
        <v>61</v>
      </c>
      <c r="G6">
        <v>112</v>
      </c>
      <c r="H6">
        <v>197</v>
      </c>
      <c r="I6">
        <v>255</v>
      </c>
      <c r="J6">
        <v>100</v>
      </c>
      <c r="K6">
        <v>18</v>
      </c>
      <c r="L6">
        <v>7</v>
      </c>
      <c r="M6">
        <v>3</v>
      </c>
      <c r="N6" s="3">
        <f t="shared" si="0"/>
        <v>1085</v>
      </c>
      <c r="O6" s="3">
        <f t="shared" si="1"/>
        <v>725</v>
      </c>
      <c r="P6">
        <f t="shared" si="2"/>
        <v>290</v>
      </c>
      <c r="Q6">
        <f t="shared" si="3"/>
        <v>373.5</v>
      </c>
      <c r="R6" s="13">
        <f t="shared" si="4"/>
        <v>220.8</v>
      </c>
    </row>
    <row r="7" spans="1:18">
      <c r="A7" s="2">
        <v>0.25</v>
      </c>
      <c r="B7">
        <v>84</v>
      </c>
      <c r="C7">
        <v>59</v>
      </c>
      <c r="D7">
        <v>118</v>
      </c>
      <c r="E7">
        <v>71</v>
      </c>
      <c r="F7">
        <v>61</v>
      </c>
      <c r="G7">
        <v>112</v>
      </c>
      <c r="H7">
        <v>234</v>
      </c>
      <c r="I7">
        <v>319</v>
      </c>
      <c r="J7">
        <v>182</v>
      </c>
      <c r="K7">
        <v>35</v>
      </c>
      <c r="L7">
        <v>10</v>
      </c>
      <c r="M7">
        <v>5</v>
      </c>
      <c r="N7" s="3">
        <f t="shared" si="0"/>
        <v>1290</v>
      </c>
      <c r="O7" s="3">
        <f t="shared" si="1"/>
        <v>908</v>
      </c>
      <c r="P7">
        <f t="shared" si="2"/>
        <v>363.20000000000005</v>
      </c>
      <c r="Q7">
        <f t="shared" si="3"/>
        <v>446.70000000000005</v>
      </c>
      <c r="R7" s="13">
        <f t="shared" si="4"/>
        <v>294.00000000000006</v>
      </c>
    </row>
    <row r="8" spans="1:18">
      <c r="A8" s="2">
        <v>0.1</v>
      </c>
      <c r="B8">
        <v>84</v>
      </c>
      <c r="C8">
        <v>59</v>
      </c>
      <c r="D8">
        <v>118</v>
      </c>
      <c r="E8">
        <v>71</v>
      </c>
      <c r="F8">
        <v>61</v>
      </c>
      <c r="G8">
        <v>112</v>
      </c>
      <c r="H8">
        <v>258</v>
      </c>
      <c r="I8">
        <v>373</v>
      </c>
      <c r="J8">
        <v>259</v>
      </c>
      <c r="K8">
        <v>50</v>
      </c>
      <c r="L8">
        <v>12</v>
      </c>
      <c r="M8">
        <v>7</v>
      </c>
      <c r="N8" s="3">
        <f t="shared" si="0"/>
        <v>1464</v>
      </c>
      <c r="O8" s="3">
        <f t="shared" si="1"/>
        <v>1063</v>
      </c>
      <c r="P8">
        <f t="shared" si="2"/>
        <v>425.20000000000005</v>
      </c>
      <c r="Q8">
        <f t="shared" si="3"/>
        <v>508.70000000000005</v>
      </c>
      <c r="R8" s="13">
        <f t="shared" si="4"/>
        <v>356.00000000000006</v>
      </c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  <row r="18" spans="9:12">
      <c r="I18" t="s">
        <v>40</v>
      </c>
      <c r="J18" t="s">
        <v>41</v>
      </c>
      <c r="K18" t="s">
        <v>42</v>
      </c>
      <c r="L18" t="s">
        <v>44</v>
      </c>
    </row>
    <row r="19" spans="9:12">
      <c r="I19">
        <v>1063</v>
      </c>
      <c r="J19">
        <v>425.20000000000005</v>
      </c>
      <c r="K19">
        <v>508.70000000000005</v>
      </c>
      <c r="L19" s="13">
        <v>356.00000000000006</v>
      </c>
    </row>
    <row r="20" spans="9:12">
      <c r="I20">
        <v>908</v>
      </c>
      <c r="J20">
        <v>363.20000000000005</v>
      </c>
      <c r="K20">
        <v>446.70000000000005</v>
      </c>
      <c r="L20" s="13">
        <v>294.00000000000006</v>
      </c>
    </row>
    <row r="21" spans="9:12">
      <c r="I21">
        <v>725</v>
      </c>
      <c r="J21">
        <v>290</v>
      </c>
      <c r="K21">
        <v>373.5</v>
      </c>
      <c r="L21" s="13">
        <v>220.8</v>
      </c>
    </row>
    <row r="22" spans="9:12">
      <c r="I22">
        <v>626</v>
      </c>
      <c r="J22">
        <v>250.4</v>
      </c>
      <c r="K22">
        <v>333.9</v>
      </c>
      <c r="L22" s="13">
        <v>181.2</v>
      </c>
    </row>
    <row r="23" spans="9:12">
      <c r="I23">
        <v>543</v>
      </c>
      <c r="J23">
        <v>217.20000000000002</v>
      </c>
      <c r="K23">
        <v>300.70000000000005</v>
      </c>
      <c r="L23" s="13">
        <v>148</v>
      </c>
    </row>
    <row r="24" spans="9:12">
      <c r="I24">
        <v>430</v>
      </c>
      <c r="J24">
        <v>172</v>
      </c>
      <c r="K24">
        <v>255.5</v>
      </c>
      <c r="L24" s="13">
        <v>102.8</v>
      </c>
    </row>
  </sheetData>
  <sortState xmlns:xlrd2="http://schemas.microsoft.com/office/spreadsheetml/2017/richdata2" ref="I19:L24">
    <sortCondition descending="1" ref="I19:I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DF0-4037-C748-AE63-562CA30C8E16}">
  <dimension ref="A1:R14"/>
  <sheetViews>
    <sheetView topLeftCell="C1" workbookViewId="0">
      <selection activeCell="R3" sqref="R3:R8"/>
    </sheetView>
  </sheetViews>
  <sheetFormatPr baseColWidth="10" defaultRowHeight="16"/>
  <sheetData>
    <row r="1" spans="1:18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8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40</v>
      </c>
      <c r="P2" s="2" t="s">
        <v>41</v>
      </c>
      <c r="Q2" s="2" t="s">
        <v>42</v>
      </c>
      <c r="R2" s="2" t="s">
        <v>44</v>
      </c>
    </row>
    <row r="3" spans="1:18">
      <c r="A3" s="5">
        <v>0.99</v>
      </c>
      <c r="B3">
        <v>84</v>
      </c>
      <c r="C3">
        <v>59</v>
      </c>
      <c r="D3">
        <v>118</v>
      </c>
      <c r="E3">
        <v>71</v>
      </c>
      <c r="F3">
        <v>61</v>
      </c>
      <c r="G3">
        <v>112</v>
      </c>
      <c r="H3">
        <v>201</v>
      </c>
      <c r="I3">
        <v>184</v>
      </c>
      <c r="J3">
        <v>53</v>
      </c>
      <c r="K3">
        <v>11</v>
      </c>
      <c r="L3">
        <v>1</v>
      </c>
      <c r="M3">
        <v>0</v>
      </c>
      <c r="N3" s="3">
        <f t="shared" ref="N3:N8" si="0">SUM(B3:M3)</f>
        <v>955</v>
      </c>
      <c r="O3" s="3">
        <f>SUM(F3:J3)</f>
        <v>611</v>
      </c>
      <c r="P3">
        <f>O3*0.4</f>
        <v>244.4</v>
      </c>
      <c r="Q3">
        <f>P3+83.5</f>
        <v>327.9</v>
      </c>
      <c r="R3" s="13">
        <f>P3-149.6</f>
        <v>94.800000000000011</v>
      </c>
    </row>
    <row r="4" spans="1:18">
      <c r="A4" s="2">
        <v>0.9</v>
      </c>
      <c r="B4">
        <v>84</v>
      </c>
      <c r="C4">
        <v>59</v>
      </c>
      <c r="D4">
        <v>118</v>
      </c>
      <c r="E4">
        <v>71</v>
      </c>
      <c r="F4">
        <v>61</v>
      </c>
      <c r="G4">
        <v>112</v>
      </c>
      <c r="H4">
        <v>201</v>
      </c>
      <c r="I4">
        <v>202</v>
      </c>
      <c r="J4">
        <v>65</v>
      </c>
      <c r="K4">
        <v>13</v>
      </c>
      <c r="L4">
        <v>2</v>
      </c>
      <c r="M4">
        <v>0</v>
      </c>
      <c r="N4" s="3">
        <f t="shared" si="0"/>
        <v>988</v>
      </c>
      <c r="O4" s="3">
        <f>SUM(F4:J4)</f>
        <v>641</v>
      </c>
      <c r="P4">
        <f t="shared" ref="P4:P8" si="1">O4*0.4</f>
        <v>256.40000000000003</v>
      </c>
      <c r="Q4">
        <f t="shared" ref="Q4:Q8" si="2">P4+83.5</f>
        <v>339.90000000000003</v>
      </c>
      <c r="R4" s="13">
        <f t="shared" ref="R4:R8" si="3">P4-149.6</f>
        <v>106.80000000000004</v>
      </c>
    </row>
    <row r="5" spans="1:18">
      <c r="A5" s="2">
        <v>0.75</v>
      </c>
      <c r="B5">
        <v>84</v>
      </c>
      <c r="C5">
        <v>59</v>
      </c>
      <c r="D5">
        <v>118</v>
      </c>
      <c r="E5">
        <v>71</v>
      </c>
      <c r="F5">
        <v>61</v>
      </c>
      <c r="G5">
        <v>112</v>
      </c>
      <c r="H5">
        <v>201</v>
      </c>
      <c r="I5">
        <v>221</v>
      </c>
      <c r="J5">
        <v>74</v>
      </c>
      <c r="K5">
        <v>15</v>
      </c>
      <c r="L5">
        <v>3</v>
      </c>
      <c r="M5">
        <v>1</v>
      </c>
      <c r="N5" s="3">
        <f t="shared" si="0"/>
        <v>1020</v>
      </c>
      <c r="O5" s="3">
        <f t="shared" ref="O4:O8" si="4">SUM(F5:J5)</f>
        <v>669</v>
      </c>
      <c r="P5">
        <f t="shared" si="1"/>
        <v>267.60000000000002</v>
      </c>
      <c r="Q5">
        <f t="shared" si="2"/>
        <v>351.1</v>
      </c>
      <c r="R5" s="13">
        <f t="shared" si="3"/>
        <v>118.00000000000003</v>
      </c>
    </row>
    <row r="6" spans="1:18">
      <c r="A6" s="2">
        <v>0.5</v>
      </c>
      <c r="B6">
        <v>84</v>
      </c>
      <c r="C6">
        <v>59</v>
      </c>
      <c r="D6">
        <v>118</v>
      </c>
      <c r="E6">
        <v>71</v>
      </c>
      <c r="F6">
        <v>61</v>
      </c>
      <c r="G6">
        <v>112</v>
      </c>
      <c r="H6">
        <v>201</v>
      </c>
      <c r="I6">
        <v>247</v>
      </c>
      <c r="J6">
        <v>95</v>
      </c>
      <c r="K6">
        <v>18</v>
      </c>
      <c r="L6">
        <v>7</v>
      </c>
      <c r="M6">
        <v>3</v>
      </c>
      <c r="N6" s="3">
        <f t="shared" si="0"/>
        <v>1076</v>
      </c>
      <c r="O6" s="3">
        <f t="shared" si="4"/>
        <v>716</v>
      </c>
      <c r="P6">
        <f t="shared" si="1"/>
        <v>286.40000000000003</v>
      </c>
      <c r="Q6">
        <f t="shared" si="2"/>
        <v>369.90000000000003</v>
      </c>
      <c r="R6" s="13">
        <f t="shared" si="3"/>
        <v>136.80000000000004</v>
      </c>
    </row>
    <row r="7" spans="1:18">
      <c r="A7" s="2">
        <v>0.25</v>
      </c>
      <c r="B7">
        <v>84</v>
      </c>
      <c r="C7">
        <v>59</v>
      </c>
      <c r="D7">
        <v>118</v>
      </c>
      <c r="E7">
        <v>71</v>
      </c>
      <c r="F7">
        <v>61</v>
      </c>
      <c r="G7">
        <v>112</v>
      </c>
      <c r="H7">
        <v>201</v>
      </c>
      <c r="I7">
        <v>265</v>
      </c>
      <c r="J7">
        <v>147</v>
      </c>
      <c r="K7">
        <v>37</v>
      </c>
      <c r="L7">
        <v>10</v>
      </c>
      <c r="M7">
        <v>5</v>
      </c>
      <c r="N7" s="3">
        <f t="shared" si="0"/>
        <v>1170</v>
      </c>
      <c r="O7" s="3">
        <f t="shared" si="4"/>
        <v>786</v>
      </c>
      <c r="P7">
        <f t="shared" si="1"/>
        <v>314.40000000000003</v>
      </c>
      <c r="Q7">
        <f t="shared" si="2"/>
        <v>397.90000000000003</v>
      </c>
      <c r="R7" s="13">
        <f t="shared" si="3"/>
        <v>164.80000000000004</v>
      </c>
    </row>
    <row r="8" spans="1:18">
      <c r="A8" s="2">
        <v>0.1</v>
      </c>
      <c r="B8">
        <v>84</v>
      </c>
      <c r="C8">
        <v>59</v>
      </c>
      <c r="D8">
        <v>118</v>
      </c>
      <c r="E8">
        <v>71</v>
      </c>
      <c r="F8">
        <v>61</v>
      </c>
      <c r="G8">
        <v>112</v>
      </c>
      <c r="H8">
        <v>201</v>
      </c>
      <c r="I8">
        <v>315</v>
      </c>
      <c r="J8">
        <v>193</v>
      </c>
      <c r="K8">
        <v>52</v>
      </c>
      <c r="L8">
        <v>12</v>
      </c>
      <c r="M8">
        <v>7</v>
      </c>
      <c r="N8" s="3">
        <f t="shared" si="0"/>
        <v>1285</v>
      </c>
      <c r="O8" s="3">
        <f t="shared" si="4"/>
        <v>882</v>
      </c>
      <c r="P8">
        <f t="shared" si="1"/>
        <v>352.8</v>
      </c>
      <c r="Q8">
        <f t="shared" si="2"/>
        <v>436.3</v>
      </c>
      <c r="R8" s="13">
        <f t="shared" si="3"/>
        <v>203.20000000000002</v>
      </c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  <row r="14" spans="1:18">
      <c r="I1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5A19-552E-D34A-BB64-11D4CE3D0E78}">
  <dimension ref="A1:S56"/>
  <sheetViews>
    <sheetView topLeftCell="C1" workbookViewId="0">
      <selection activeCell="M12" sqref="M12:M15"/>
    </sheetView>
  </sheetViews>
  <sheetFormatPr baseColWidth="10" defaultRowHeight="16"/>
  <cols>
    <col min="1" max="1" width="123" bestFit="1" customWidth="1"/>
    <col min="2" max="2" width="75.83203125" bestFit="1" customWidth="1"/>
    <col min="3" max="3" width="11.5" bestFit="1" customWidth="1"/>
    <col min="4" max="5" width="5.6640625" bestFit="1" customWidth="1"/>
    <col min="6" max="8" width="5.1640625" bestFit="1" customWidth="1"/>
    <col min="9" max="9" width="13.1640625" bestFit="1" customWidth="1"/>
    <col min="10" max="10" width="4.1640625" bestFit="1" customWidth="1"/>
    <col min="11" max="12" width="13.1640625" bestFit="1" customWidth="1"/>
    <col min="13" max="13" width="6.33203125" bestFit="1" customWidth="1"/>
    <col min="14" max="14" width="11.5" bestFit="1" customWidth="1"/>
    <col min="15" max="17" width="5.6640625" bestFit="1" customWidth="1"/>
    <col min="18" max="18" width="6.33203125" bestFit="1" customWidth="1"/>
    <col min="19" max="19" width="11.5" bestFit="1" customWidth="1"/>
  </cols>
  <sheetData>
    <row r="1" spans="1:19">
      <c r="A1" t="s">
        <v>34</v>
      </c>
      <c r="B1" t="s">
        <v>30</v>
      </c>
      <c r="C1" t="s">
        <v>18</v>
      </c>
    </row>
    <row r="2" spans="1:19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31</v>
      </c>
      <c r="I2" t="s">
        <v>19</v>
      </c>
      <c r="J2" t="s">
        <v>10</v>
      </c>
      <c r="K2" t="s">
        <v>32</v>
      </c>
      <c r="L2" t="s">
        <v>20</v>
      </c>
      <c r="N2" t="s">
        <v>21</v>
      </c>
      <c r="Q2" t="s">
        <v>14</v>
      </c>
    </row>
    <row r="3" spans="1:19">
      <c r="A3" s="8">
        <v>0.99</v>
      </c>
      <c r="B3">
        <v>58</v>
      </c>
      <c r="C3">
        <v>30</v>
      </c>
      <c r="D3">
        <v>79</v>
      </c>
      <c r="E3">
        <v>50</v>
      </c>
      <c r="F3">
        <v>52</v>
      </c>
      <c r="G3">
        <v>88</v>
      </c>
      <c r="H3">
        <v>73</v>
      </c>
      <c r="I3">
        <v>45</v>
      </c>
      <c r="J3">
        <v>10</v>
      </c>
      <c r="K3">
        <v>0</v>
      </c>
      <c r="M3">
        <v>0</v>
      </c>
      <c r="O3">
        <v>0</v>
      </c>
      <c r="Q3">
        <v>485</v>
      </c>
      <c r="R3">
        <v>128</v>
      </c>
      <c r="S3" s="8">
        <v>0.41</v>
      </c>
    </row>
    <row r="4" spans="1:19">
      <c r="A4" s="8">
        <v>0.9</v>
      </c>
      <c r="B4">
        <v>58</v>
      </c>
      <c r="C4">
        <v>30</v>
      </c>
      <c r="D4">
        <v>79</v>
      </c>
      <c r="E4">
        <v>50</v>
      </c>
      <c r="F4">
        <v>52</v>
      </c>
      <c r="G4">
        <v>88</v>
      </c>
      <c r="H4">
        <v>90</v>
      </c>
      <c r="I4">
        <v>75</v>
      </c>
      <c r="J4">
        <v>22</v>
      </c>
      <c r="K4">
        <v>3</v>
      </c>
      <c r="M4">
        <v>1</v>
      </c>
      <c r="O4">
        <v>0</v>
      </c>
      <c r="Q4">
        <v>548</v>
      </c>
      <c r="R4">
        <v>190</v>
      </c>
      <c r="S4" s="8">
        <v>0.46</v>
      </c>
    </row>
    <row r="5" spans="1:19">
      <c r="A5" s="8">
        <v>0.75</v>
      </c>
      <c r="B5">
        <v>58</v>
      </c>
      <c r="C5">
        <v>30</v>
      </c>
      <c r="D5">
        <v>79</v>
      </c>
      <c r="E5">
        <v>50</v>
      </c>
      <c r="F5">
        <v>52</v>
      </c>
      <c r="G5">
        <v>88</v>
      </c>
      <c r="H5">
        <v>107</v>
      </c>
      <c r="I5">
        <v>95</v>
      </c>
      <c r="J5">
        <v>30</v>
      </c>
      <c r="K5">
        <v>5</v>
      </c>
      <c r="M5">
        <v>1</v>
      </c>
      <c r="O5">
        <v>0</v>
      </c>
      <c r="Q5">
        <v>595</v>
      </c>
      <c r="R5">
        <v>237</v>
      </c>
      <c r="S5" s="8">
        <v>0.5</v>
      </c>
    </row>
    <row r="6" spans="1:19">
      <c r="A6" s="8">
        <v>0.5</v>
      </c>
      <c r="B6">
        <v>58</v>
      </c>
      <c r="C6">
        <v>30</v>
      </c>
      <c r="D6">
        <v>79</v>
      </c>
      <c r="E6">
        <v>50</v>
      </c>
      <c r="F6">
        <v>52</v>
      </c>
      <c r="G6">
        <v>88</v>
      </c>
      <c r="H6">
        <v>135</v>
      </c>
      <c r="I6">
        <v>130</v>
      </c>
      <c r="J6">
        <v>38</v>
      </c>
      <c r="K6">
        <v>7</v>
      </c>
      <c r="M6">
        <v>2</v>
      </c>
      <c r="Q6">
        <v>670</v>
      </c>
      <c r="R6">
        <v>310</v>
      </c>
      <c r="S6" s="8">
        <v>0.56999999999999995</v>
      </c>
    </row>
    <row r="7" spans="1:19">
      <c r="A7" s="8">
        <v>0.25</v>
      </c>
      <c r="B7">
        <v>58</v>
      </c>
      <c r="C7">
        <v>30</v>
      </c>
      <c r="D7">
        <v>79</v>
      </c>
      <c r="E7">
        <v>50</v>
      </c>
      <c r="F7">
        <v>52</v>
      </c>
      <c r="G7">
        <v>88</v>
      </c>
      <c r="H7">
        <v>170</v>
      </c>
      <c r="I7">
        <v>175</v>
      </c>
      <c r="J7">
        <v>85</v>
      </c>
      <c r="K7">
        <v>15</v>
      </c>
      <c r="M7">
        <v>5</v>
      </c>
      <c r="O7">
        <v>3</v>
      </c>
      <c r="Q7">
        <v>810</v>
      </c>
      <c r="R7">
        <v>445</v>
      </c>
      <c r="S7" s="8">
        <v>0.69</v>
      </c>
    </row>
    <row r="8" spans="1:19">
      <c r="A8" s="8">
        <v>0.1</v>
      </c>
      <c r="B8">
        <v>58</v>
      </c>
      <c r="C8">
        <v>30</v>
      </c>
      <c r="D8">
        <v>79</v>
      </c>
      <c r="E8">
        <v>50</v>
      </c>
      <c r="F8">
        <v>52</v>
      </c>
      <c r="G8">
        <v>88</v>
      </c>
      <c r="H8">
        <v>195</v>
      </c>
      <c r="I8">
        <v>205</v>
      </c>
      <c r="J8">
        <v>115</v>
      </c>
      <c r="K8">
        <v>25</v>
      </c>
      <c r="M8">
        <v>9</v>
      </c>
      <c r="O8">
        <v>4</v>
      </c>
      <c r="Q8">
        <v>910</v>
      </c>
      <c r="R8">
        <v>540</v>
      </c>
      <c r="S8" s="8">
        <v>0.77</v>
      </c>
    </row>
    <row r="9" spans="1:19">
      <c r="L9" t="s">
        <v>22</v>
      </c>
      <c r="N9" s="9">
        <v>1181</v>
      </c>
      <c r="O9">
        <v>699</v>
      </c>
    </row>
    <row r="10" spans="1:19">
      <c r="A10" t="s">
        <v>23</v>
      </c>
    </row>
    <row r="11" spans="1:19"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31</v>
      </c>
      <c r="I11" t="s">
        <v>19</v>
      </c>
      <c r="J11" t="s">
        <v>10</v>
      </c>
      <c r="K11" t="s">
        <v>11</v>
      </c>
      <c r="L11" t="s">
        <v>20</v>
      </c>
      <c r="N11" t="s">
        <v>21</v>
      </c>
      <c r="Q11" t="s">
        <v>14</v>
      </c>
      <c r="R11" t="s">
        <v>30</v>
      </c>
      <c r="S11" t="s">
        <v>18</v>
      </c>
    </row>
    <row r="12" spans="1:19">
      <c r="A12" s="8">
        <v>0.99</v>
      </c>
      <c r="B12">
        <v>84</v>
      </c>
      <c r="C12">
        <v>59</v>
      </c>
      <c r="D12">
        <v>118</v>
      </c>
      <c r="E12">
        <v>71</v>
      </c>
      <c r="F12">
        <v>61</v>
      </c>
      <c r="G12">
        <v>112</v>
      </c>
      <c r="H12">
        <v>103</v>
      </c>
      <c r="I12">
        <v>126</v>
      </c>
      <c r="J12">
        <v>28</v>
      </c>
      <c r="K12">
        <v>8</v>
      </c>
      <c r="M12">
        <v>0</v>
      </c>
      <c r="O12">
        <v>0</v>
      </c>
      <c r="Q12">
        <v>770</v>
      </c>
      <c r="R12">
        <v>265</v>
      </c>
      <c r="S12" s="8">
        <v>0.39</v>
      </c>
    </row>
    <row r="13" spans="1:19">
      <c r="A13" s="8">
        <v>0.9</v>
      </c>
      <c r="B13">
        <v>84</v>
      </c>
      <c r="C13">
        <v>59</v>
      </c>
      <c r="D13">
        <v>118</v>
      </c>
      <c r="E13">
        <v>71</v>
      </c>
      <c r="F13">
        <v>61</v>
      </c>
      <c r="G13">
        <v>112</v>
      </c>
      <c r="H13">
        <v>150</v>
      </c>
      <c r="I13">
        <v>175</v>
      </c>
      <c r="J13">
        <v>45</v>
      </c>
      <c r="K13">
        <v>10</v>
      </c>
      <c r="M13">
        <v>0</v>
      </c>
      <c r="O13">
        <v>0</v>
      </c>
      <c r="Q13">
        <v>885</v>
      </c>
      <c r="R13">
        <v>380</v>
      </c>
      <c r="S13" s="8">
        <v>0.45</v>
      </c>
    </row>
    <row r="14" spans="1:19">
      <c r="A14" s="8">
        <v>0.75</v>
      </c>
      <c r="B14">
        <v>84</v>
      </c>
      <c r="C14">
        <v>59</v>
      </c>
      <c r="D14">
        <v>118</v>
      </c>
      <c r="E14">
        <v>71</v>
      </c>
      <c r="F14">
        <v>61</v>
      </c>
      <c r="G14">
        <v>112</v>
      </c>
      <c r="H14">
        <v>172</v>
      </c>
      <c r="I14">
        <v>210</v>
      </c>
      <c r="J14">
        <v>71</v>
      </c>
      <c r="K14">
        <v>14</v>
      </c>
      <c r="M14">
        <v>2</v>
      </c>
      <c r="Q14">
        <v>975</v>
      </c>
      <c r="R14">
        <v>467</v>
      </c>
      <c r="S14" s="8">
        <v>0.5</v>
      </c>
    </row>
    <row r="15" spans="1:19">
      <c r="A15" s="8">
        <v>0.5</v>
      </c>
      <c r="B15">
        <v>84</v>
      </c>
      <c r="C15">
        <v>59</v>
      </c>
      <c r="D15">
        <v>118</v>
      </c>
      <c r="E15">
        <v>71</v>
      </c>
      <c r="F15">
        <v>61</v>
      </c>
      <c r="G15">
        <v>112</v>
      </c>
      <c r="H15">
        <v>197</v>
      </c>
      <c r="I15">
        <v>255</v>
      </c>
      <c r="J15">
        <v>100</v>
      </c>
      <c r="K15">
        <v>18</v>
      </c>
      <c r="M15">
        <v>7</v>
      </c>
      <c r="O15">
        <v>3</v>
      </c>
      <c r="Q15" s="9">
        <v>1085</v>
      </c>
      <c r="R15">
        <v>570</v>
      </c>
      <c r="S15" s="8">
        <v>0.56000000000000005</v>
      </c>
    </row>
    <row r="16" spans="1:19">
      <c r="A16" s="8">
        <v>0.25</v>
      </c>
      <c r="B16">
        <v>84</v>
      </c>
      <c r="C16">
        <v>59</v>
      </c>
      <c r="D16">
        <v>118</v>
      </c>
      <c r="E16">
        <v>71</v>
      </c>
      <c r="F16">
        <v>61</v>
      </c>
      <c r="G16">
        <v>112</v>
      </c>
      <c r="H16">
        <v>234</v>
      </c>
      <c r="I16">
        <v>319</v>
      </c>
      <c r="J16">
        <v>182</v>
      </c>
      <c r="K16">
        <v>35</v>
      </c>
      <c r="L16">
        <v>10</v>
      </c>
      <c r="N16">
        <v>5</v>
      </c>
      <c r="P16" s="9">
        <v>1290</v>
      </c>
      <c r="Q16">
        <v>770</v>
      </c>
      <c r="R16" s="8">
        <v>0.66</v>
      </c>
    </row>
    <row r="17" spans="1:19">
      <c r="A17" s="8">
        <v>0.1</v>
      </c>
      <c r="B17">
        <v>84</v>
      </c>
      <c r="C17">
        <v>59</v>
      </c>
      <c r="D17">
        <v>118</v>
      </c>
      <c r="E17">
        <v>71</v>
      </c>
      <c r="F17">
        <v>61</v>
      </c>
      <c r="G17">
        <v>112</v>
      </c>
      <c r="H17">
        <v>258</v>
      </c>
      <c r="I17">
        <v>373</v>
      </c>
      <c r="J17">
        <v>259</v>
      </c>
      <c r="K17">
        <v>50</v>
      </c>
      <c r="L17">
        <v>12</v>
      </c>
      <c r="N17">
        <v>7</v>
      </c>
      <c r="P17" s="9">
        <v>1465</v>
      </c>
      <c r="Q17">
        <v>940</v>
      </c>
      <c r="R17" s="8">
        <v>0.75</v>
      </c>
    </row>
    <row r="18" spans="1:19">
      <c r="B18" t="s">
        <v>24</v>
      </c>
      <c r="D18" s="9">
        <v>1954</v>
      </c>
      <c r="E18" s="9">
        <v>1222</v>
      </c>
    </row>
    <row r="19" spans="1:19">
      <c r="A19" t="s">
        <v>25</v>
      </c>
    </row>
    <row r="20" spans="1:19"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31</v>
      </c>
      <c r="I20" t="s">
        <v>19</v>
      </c>
      <c r="J20" t="s">
        <v>10</v>
      </c>
      <c r="K20" t="s">
        <v>11</v>
      </c>
      <c r="L20" t="s">
        <v>20</v>
      </c>
      <c r="N20" t="s">
        <v>21</v>
      </c>
      <c r="Q20" t="s">
        <v>14</v>
      </c>
      <c r="R20" t="s">
        <v>30</v>
      </c>
      <c r="S20" t="s">
        <v>18</v>
      </c>
    </row>
    <row r="21" spans="1:19">
      <c r="A21" s="8">
        <v>0.99</v>
      </c>
      <c r="B21">
        <v>26</v>
      </c>
      <c r="C21">
        <v>23</v>
      </c>
      <c r="D21">
        <v>52</v>
      </c>
      <c r="E21">
        <v>38</v>
      </c>
      <c r="F21">
        <v>32</v>
      </c>
      <c r="G21">
        <v>61</v>
      </c>
      <c r="H21">
        <v>50</v>
      </c>
      <c r="I21">
        <v>32</v>
      </c>
      <c r="J21">
        <v>14</v>
      </c>
      <c r="K21">
        <v>3</v>
      </c>
      <c r="M21">
        <v>0</v>
      </c>
      <c r="O21">
        <v>0</v>
      </c>
      <c r="Q21">
        <v>330</v>
      </c>
      <c r="R21">
        <v>99</v>
      </c>
      <c r="S21" s="8">
        <v>0.33</v>
      </c>
    </row>
    <row r="22" spans="1:19">
      <c r="A22" s="8">
        <v>0.9</v>
      </c>
      <c r="B22">
        <v>26</v>
      </c>
      <c r="C22">
        <v>23</v>
      </c>
      <c r="D22">
        <v>52</v>
      </c>
      <c r="E22">
        <v>38</v>
      </c>
      <c r="F22">
        <v>32</v>
      </c>
      <c r="G22">
        <v>61</v>
      </c>
      <c r="H22">
        <v>73</v>
      </c>
      <c r="I22">
        <v>56</v>
      </c>
      <c r="J22">
        <v>22</v>
      </c>
      <c r="K22">
        <v>4</v>
      </c>
      <c r="M22">
        <v>1</v>
      </c>
      <c r="O22">
        <v>0</v>
      </c>
      <c r="Q22">
        <v>387</v>
      </c>
      <c r="R22">
        <v>155</v>
      </c>
      <c r="S22" s="8">
        <v>0.38</v>
      </c>
    </row>
    <row r="23" spans="1:19">
      <c r="A23" s="8">
        <v>0.75</v>
      </c>
      <c r="B23">
        <v>26</v>
      </c>
      <c r="C23">
        <v>23</v>
      </c>
      <c r="D23">
        <v>52</v>
      </c>
      <c r="E23">
        <v>38</v>
      </c>
      <c r="F23">
        <v>32</v>
      </c>
      <c r="G23">
        <v>61</v>
      </c>
      <c r="H23">
        <v>92</v>
      </c>
      <c r="I23">
        <v>82</v>
      </c>
      <c r="J23">
        <v>27</v>
      </c>
      <c r="K23">
        <v>7</v>
      </c>
      <c r="M23">
        <v>1</v>
      </c>
      <c r="O23">
        <v>0</v>
      </c>
      <c r="Q23">
        <v>440</v>
      </c>
      <c r="R23">
        <v>208</v>
      </c>
      <c r="S23" s="8">
        <v>0.44</v>
      </c>
    </row>
    <row r="24" spans="1:19">
      <c r="A24" s="8">
        <v>0.5</v>
      </c>
      <c r="B24">
        <v>26</v>
      </c>
      <c r="C24">
        <v>23</v>
      </c>
      <c r="D24">
        <v>52</v>
      </c>
      <c r="E24">
        <v>38</v>
      </c>
      <c r="F24">
        <v>32</v>
      </c>
      <c r="G24">
        <v>61</v>
      </c>
      <c r="H24">
        <v>115</v>
      </c>
      <c r="I24">
        <v>103</v>
      </c>
      <c r="J24">
        <v>33</v>
      </c>
      <c r="K24">
        <v>9</v>
      </c>
      <c r="M24">
        <v>2</v>
      </c>
      <c r="O24">
        <v>0</v>
      </c>
      <c r="Q24">
        <v>493</v>
      </c>
      <c r="R24">
        <v>260</v>
      </c>
      <c r="S24" s="8">
        <v>0.49</v>
      </c>
    </row>
    <row r="25" spans="1:19">
      <c r="A25" s="8">
        <v>0.25</v>
      </c>
      <c r="B25">
        <v>26</v>
      </c>
      <c r="C25">
        <v>23</v>
      </c>
      <c r="D25">
        <v>52</v>
      </c>
      <c r="E25">
        <v>38</v>
      </c>
      <c r="F25">
        <v>32</v>
      </c>
      <c r="G25">
        <v>61</v>
      </c>
      <c r="H25">
        <v>135</v>
      </c>
      <c r="I25">
        <v>140</v>
      </c>
      <c r="J25">
        <v>67</v>
      </c>
      <c r="K25">
        <v>16</v>
      </c>
      <c r="M25">
        <v>4</v>
      </c>
      <c r="O25">
        <v>2</v>
      </c>
      <c r="Q25">
        <v>595</v>
      </c>
      <c r="R25">
        <v>358</v>
      </c>
      <c r="S25" s="8">
        <v>0.59</v>
      </c>
    </row>
    <row r="26" spans="1:19">
      <c r="A26" s="8">
        <v>0.1</v>
      </c>
      <c r="B26">
        <v>26</v>
      </c>
      <c r="C26">
        <v>23</v>
      </c>
      <c r="D26">
        <v>52</v>
      </c>
      <c r="E26">
        <v>38</v>
      </c>
      <c r="F26">
        <v>32</v>
      </c>
      <c r="G26">
        <v>61</v>
      </c>
      <c r="H26">
        <v>150</v>
      </c>
      <c r="I26">
        <v>172</v>
      </c>
      <c r="J26">
        <v>95</v>
      </c>
      <c r="K26">
        <v>23</v>
      </c>
      <c r="M26">
        <v>6</v>
      </c>
      <c r="O26">
        <v>2</v>
      </c>
      <c r="Q26">
        <v>680</v>
      </c>
      <c r="R26">
        <v>440</v>
      </c>
      <c r="S26" s="8">
        <v>0.68</v>
      </c>
    </row>
    <row r="27" spans="1:19">
      <c r="L27" t="s">
        <v>22</v>
      </c>
      <c r="N27" t="s">
        <v>33</v>
      </c>
      <c r="O27">
        <v>627</v>
      </c>
    </row>
    <row r="28" spans="1:19">
      <c r="A28" t="s">
        <v>26</v>
      </c>
    </row>
    <row r="29" spans="1:19"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31</v>
      </c>
      <c r="I29" t="s">
        <v>19</v>
      </c>
      <c r="J29" t="s">
        <v>10</v>
      </c>
      <c r="K29" t="s">
        <v>11</v>
      </c>
      <c r="L29" t="s">
        <v>20</v>
      </c>
      <c r="N29" t="s">
        <v>21</v>
      </c>
      <c r="Q29" t="s">
        <v>14</v>
      </c>
      <c r="R29" t="s">
        <v>30</v>
      </c>
      <c r="S29" t="s">
        <v>18</v>
      </c>
    </row>
    <row r="30" spans="1:19">
      <c r="A30" s="8">
        <v>0.99</v>
      </c>
      <c r="B30">
        <v>62</v>
      </c>
      <c r="C30">
        <v>47</v>
      </c>
      <c r="D30">
        <v>110</v>
      </c>
      <c r="E30">
        <v>77</v>
      </c>
      <c r="F30">
        <v>71</v>
      </c>
      <c r="G30">
        <v>120</v>
      </c>
      <c r="H30">
        <v>100</v>
      </c>
      <c r="I30">
        <v>88</v>
      </c>
      <c r="J30">
        <v>53</v>
      </c>
      <c r="K30">
        <v>16</v>
      </c>
      <c r="M30">
        <v>7</v>
      </c>
      <c r="O30">
        <v>5</v>
      </c>
      <c r="Q30">
        <v>755</v>
      </c>
      <c r="R30">
        <v>257</v>
      </c>
      <c r="S30" s="8">
        <v>0.43</v>
      </c>
    </row>
    <row r="31" spans="1:19">
      <c r="A31" s="8">
        <v>0.9</v>
      </c>
      <c r="B31">
        <v>62</v>
      </c>
      <c r="C31">
        <v>47</v>
      </c>
      <c r="D31">
        <v>110</v>
      </c>
      <c r="E31">
        <v>77</v>
      </c>
      <c r="F31">
        <v>71</v>
      </c>
      <c r="G31">
        <v>120</v>
      </c>
      <c r="H31">
        <v>150</v>
      </c>
      <c r="I31">
        <v>165</v>
      </c>
      <c r="J31">
        <v>70</v>
      </c>
      <c r="K31">
        <v>25</v>
      </c>
      <c r="L31">
        <v>11</v>
      </c>
      <c r="N31">
        <v>8</v>
      </c>
      <c r="P31">
        <v>915</v>
      </c>
      <c r="Q31">
        <v>410</v>
      </c>
      <c r="R31" s="8">
        <v>0.52</v>
      </c>
    </row>
    <row r="32" spans="1:19">
      <c r="A32" s="8">
        <v>0.75</v>
      </c>
      <c r="B32">
        <v>62</v>
      </c>
      <c r="C32">
        <v>47</v>
      </c>
      <c r="D32">
        <v>110</v>
      </c>
      <c r="E32">
        <v>77</v>
      </c>
      <c r="F32">
        <v>71</v>
      </c>
      <c r="G32">
        <v>120</v>
      </c>
      <c r="H32">
        <v>175</v>
      </c>
      <c r="I32">
        <v>207</v>
      </c>
      <c r="J32">
        <v>98</v>
      </c>
      <c r="K32">
        <v>32</v>
      </c>
      <c r="L32">
        <v>14</v>
      </c>
      <c r="N32">
        <v>8</v>
      </c>
      <c r="P32" s="9">
        <v>1020</v>
      </c>
      <c r="Q32">
        <v>511</v>
      </c>
      <c r="R32" s="8">
        <v>0.56999999999999995</v>
      </c>
    </row>
    <row r="33" spans="1:19">
      <c r="A33" s="8">
        <v>0.5</v>
      </c>
      <c r="B33">
        <v>62</v>
      </c>
      <c r="C33">
        <v>47</v>
      </c>
      <c r="D33">
        <v>110</v>
      </c>
      <c r="E33">
        <v>77</v>
      </c>
      <c r="F33">
        <v>71</v>
      </c>
      <c r="G33">
        <v>120</v>
      </c>
      <c r="H33">
        <v>220</v>
      </c>
      <c r="I33">
        <v>250</v>
      </c>
      <c r="J33">
        <v>152</v>
      </c>
      <c r="K33">
        <v>48</v>
      </c>
      <c r="L33">
        <v>19</v>
      </c>
      <c r="N33">
        <v>9</v>
      </c>
      <c r="P33" s="9">
        <v>1185</v>
      </c>
      <c r="Q33">
        <v>670</v>
      </c>
      <c r="R33" s="8">
        <v>0.67</v>
      </c>
    </row>
    <row r="34" spans="1:19">
      <c r="A34" s="8">
        <v>0.25</v>
      </c>
      <c r="B34">
        <v>62</v>
      </c>
      <c r="C34">
        <v>47</v>
      </c>
      <c r="D34">
        <v>110</v>
      </c>
      <c r="E34">
        <v>77</v>
      </c>
      <c r="F34">
        <v>71</v>
      </c>
      <c r="G34">
        <v>120</v>
      </c>
      <c r="H34">
        <v>250</v>
      </c>
      <c r="I34">
        <v>311</v>
      </c>
      <c r="J34">
        <v>195</v>
      </c>
      <c r="K34">
        <v>68</v>
      </c>
      <c r="L34">
        <v>23</v>
      </c>
      <c r="M34">
        <v>11</v>
      </c>
      <c r="O34" s="9">
        <v>1345</v>
      </c>
      <c r="P34">
        <v>824</v>
      </c>
      <c r="Q34" s="8">
        <v>0.76</v>
      </c>
    </row>
    <row r="35" spans="1:19">
      <c r="A35" s="8">
        <v>0.1</v>
      </c>
      <c r="B35">
        <v>62</v>
      </c>
      <c r="C35">
        <v>47</v>
      </c>
      <c r="D35">
        <v>110</v>
      </c>
      <c r="E35">
        <v>77</v>
      </c>
      <c r="F35">
        <v>71</v>
      </c>
      <c r="G35">
        <v>120</v>
      </c>
      <c r="H35">
        <v>270</v>
      </c>
      <c r="I35">
        <v>365</v>
      </c>
      <c r="J35">
        <v>225</v>
      </c>
      <c r="K35">
        <v>80</v>
      </c>
      <c r="L35">
        <v>29</v>
      </c>
      <c r="M35">
        <v>14</v>
      </c>
      <c r="O35" t="s">
        <v>35</v>
      </c>
      <c r="P35">
        <v>940</v>
      </c>
      <c r="Q35" s="8">
        <v>0.83</v>
      </c>
    </row>
    <row r="36" spans="1:19">
      <c r="B36" t="s">
        <v>27</v>
      </c>
      <c r="D36" s="9">
        <v>1775</v>
      </c>
      <c r="E36" s="9">
        <v>1229</v>
      </c>
    </row>
    <row r="38" spans="1:19"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  <c r="I38" t="s">
        <v>19</v>
      </c>
      <c r="J38" t="s">
        <v>10</v>
      </c>
      <c r="K38" t="s">
        <v>11</v>
      </c>
      <c r="L38" t="s">
        <v>20</v>
      </c>
      <c r="N38" t="s">
        <v>21</v>
      </c>
      <c r="Q38" t="s">
        <v>14</v>
      </c>
      <c r="R38" t="s">
        <v>30</v>
      </c>
      <c r="S38" t="s">
        <v>18</v>
      </c>
    </row>
    <row r="39" spans="1:19">
      <c r="A39" s="8">
        <v>0.99</v>
      </c>
      <c r="B39">
        <v>229</v>
      </c>
      <c r="C39">
        <v>159</v>
      </c>
      <c r="D39">
        <v>359</v>
      </c>
      <c r="E39">
        <v>236</v>
      </c>
      <c r="F39">
        <v>216</v>
      </c>
      <c r="G39">
        <v>381</v>
      </c>
      <c r="H39">
        <v>326</v>
      </c>
      <c r="I39">
        <v>290</v>
      </c>
      <c r="J39">
        <v>105</v>
      </c>
      <c r="K39">
        <v>27</v>
      </c>
      <c r="M39">
        <v>7</v>
      </c>
      <c r="O39">
        <v>5</v>
      </c>
      <c r="Q39" s="9">
        <v>2340</v>
      </c>
      <c r="R39">
        <v>748</v>
      </c>
      <c r="S39" s="8">
        <v>0.4</v>
      </c>
    </row>
    <row r="40" spans="1:19">
      <c r="A40" s="8">
        <v>0.9</v>
      </c>
      <c r="B40">
        <v>229</v>
      </c>
      <c r="C40">
        <v>159</v>
      </c>
      <c r="D40">
        <v>359</v>
      </c>
      <c r="E40">
        <v>236</v>
      </c>
      <c r="F40">
        <v>216</v>
      </c>
      <c r="G40">
        <v>381</v>
      </c>
      <c r="H40">
        <v>463</v>
      </c>
      <c r="I40">
        <v>471</v>
      </c>
      <c r="J40">
        <v>159</v>
      </c>
      <c r="K40">
        <v>42</v>
      </c>
      <c r="L40">
        <v>12</v>
      </c>
      <c r="N40">
        <v>8</v>
      </c>
      <c r="P40" s="9">
        <v>2735</v>
      </c>
      <c r="Q40" s="9">
        <v>1135</v>
      </c>
      <c r="R40" s="8">
        <v>0.46</v>
      </c>
    </row>
    <row r="41" spans="1:19">
      <c r="A41" s="8">
        <v>0.75</v>
      </c>
      <c r="B41">
        <v>229</v>
      </c>
      <c r="C41">
        <v>159</v>
      </c>
      <c r="D41">
        <v>359</v>
      </c>
      <c r="E41">
        <v>236</v>
      </c>
      <c r="F41">
        <v>216</v>
      </c>
      <c r="G41">
        <v>381</v>
      </c>
      <c r="H41">
        <v>546</v>
      </c>
      <c r="I41">
        <v>594</v>
      </c>
      <c r="J41">
        <v>226</v>
      </c>
      <c r="K41">
        <v>58</v>
      </c>
      <c r="L41">
        <v>18</v>
      </c>
      <c r="N41">
        <v>9</v>
      </c>
      <c r="P41" s="9">
        <v>3030</v>
      </c>
      <c r="Q41" s="9">
        <v>1423</v>
      </c>
      <c r="R41" s="8">
        <v>0.51</v>
      </c>
    </row>
    <row r="42" spans="1:19">
      <c r="A42" s="8">
        <v>0.5</v>
      </c>
      <c r="B42">
        <v>229</v>
      </c>
      <c r="C42">
        <v>159</v>
      </c>
      <c r="D42">
        <v>359</v>
      </c>
      <c r="E42">
        <v>236</v>
      </c>
      <c r="F42">
        <v>216</v>
      </c>
      <c r="G42">
        <v>381</v>
      </c>
      <c r="H42">
        <v>667</v>
      </c>
      <c r="I42">
        <v>738</v>
      </c>
      <c r="J42">
        <v>323</v>
      </c>
      <c r="K42">
        <v>82</v>
      </c>
      <c r="L42">
        <v>30</v>
      </c>
      <c r="M42">
        <v>13</v>
      </c>
      <c r="O42" s="9">
        <v>3433</v>
      </c>
      <c r="P42" s="9">
        <v>1810</v>
      </c>
      <c r="Q42" s="8">
        <v>0.57999999999999996</v>
      </c>
    </row>
    <row r="43" spans="1:19">
      <c r="A43" s="8">
        <v>0.25</v>
      </c>
      <c r="B43">
        <v>229</v>
      </c>
      <c r="C43">
        <v>159</v>
      </c>
      <c r="D43">
        <v>359</v>
      </c>
      <c r="E43">
        <v>236</v>
      </c>
      <c r="F43">
        <v>216</v>
      </c>
      <c r="G43">
        <v>381</v>
      </c>
      <c r="H43">
        <v>789</v>
      </c>
      <c r="I43">
        <v>945</v>
      </c>
      <c r="J43">
        <v>529</v>
      </c>
      <c r="K43">
        <v>134</v>
      </c>
      <c r="L43">
        <v>42</v>
      </c>
      <c r="M43">
        <v>21</v>
      </c>
      <c r="O43" s="9">
        <v>4040</v>
      </c>
      <c r="P43" s="9">
        <v>2396</v>
      </c>
      <c r="Q43" s="8">
        <v>0.68</v>
      </c>
    </row>
    <row r="44" spans="1:19">
      <c r="A44" s="8">
        <v>0.1</v>
      </c>
      <c r="B44">
        <v>229</v>
      </c>
      <c r="C44">
        <v>159</v>
      </c>
      <c r="D44">
        <v>359</v>
      </c>
      <c r="E44">
        <v>236</v>
      </c>
      <c r="F44">
        <v>216</v>
      </c>
      <c r="G44">
        <v>381</v>
      </c>
      <c r="H44">
        <v>873</v>
      </c>
      <c r="I44">
        <v>1115</v>
      </c>
      <c r="J44">
        <v>694</v>
      </c>
      <c r="K44">
        <v>178</v>
      </c>
      <c r="L44">
        <v>57</v>
      </c>
      <c r="M44">
        <v>28</v>
      </c>
      <c r="O44" s="9">
        <v>4525</v>
      </c>
      <c r="P44" s="9">
        <v>2860</v>
      </c>
      <c r="Q44" s="8">
        <v>0.76</v>
      </c>
    </row>
    <row r="45" spans="1:19">
      <c r="I45" t="s">
        <v>22</v>
      </c>
      <c r="K45">
        <v>5917</v>
      </c>
      <c r="L45">
        <v>3777</v>
      </c>
    </row>
    <row r="46" spans="1:19">
      <c r="B46" t="s">
        <v>28</v>
      </c>
      <c r="C46" t="s">
        <v>6</v>
      </c>
      <c r="D46" t="s">
        <v>7</v>
      </c>
      <c r="F46" t="s">
        <v>19</v>
      </c>
      <c r="G46" t="s">
        <v>10</v>
      </c>
      <c r="H46" t="s">
        <v>11</v>
      </c>
      <c r="I46" t="s">
        <v>20</v>
      </c>
      <c r="J46" t="s">
        <v>21</v>
      </c>
      <c r="L46" t="s">
        <v>14</v>
      </c>
      <c r="M46" t="s">
        <v>30</v>
      </c>
      <c r="N46" t="s">
        <v>18</v>
      </c>
    </row>
    <row r="47" spans="1:19">
      <c r="A47" t="s">
        <v>2</v>
      </c>
      <c r="B47" t="s">
        <v>3</v>
      </c>
      <c r="C47" t="s">
        <v>4</v>
      </c>
      <c r="D47" t="s">
        <v>5</v>
      </c>
    </row>
    <row r="48" spans="1:19">
      <c r="A48" s="8">
        <v>0.99</v>
      </c>
      <c r="B48">
        <v>1273</v>
      </c>
      <c r="C48" t="s">
        <v>36</v>
      </c>
      <c r="D48">
        <v>1641</v>
      </c>
      <c r="E48">
        <v>1034</v>
      </c>
      <c r="F48">
        <v>1411</v>
      </c>
      <c r="G48">
        <v>905</v>
      </c>
      <c r="H48">
        <v>736</v>
      </c>
      <c r="I48">
        <v>387</v>
      </c>
      <c r="J48">
        <v>237</v>
      </c>
      <c r="K48">
        <v>190</v>
      </c>
      <c r="L48">
        <v>190</v>
      </c>
      <c r="N48" s="9">
        <v>10930</v>
      </c>
      <c r="O48" s="9">
        <v>2266</v>
      </c>
      <c r="P48" s="8">
        <v>0.46</v>
      </c>
    </row>
    <row r="49" spans="1:16">
      <c r="A49" s="8">
        <v>0.9</v>
      </c>
      <c r="B49">
        <v>1273</v>
      </c>
      <c r="C49" t="s">
        <v>36</v>
      </c>
      <c r="D49">
        <v>1641</v>
      </c>
      <c r="E49">
        <v>1034</v>
      </c>
      <c r="F49">
        <v>1411</v>
      </c>
      <c r="G49">
        <v>1148</v>
      </c>
      <c r="H49">
        <v>1000</v>
      </c>
      <c r="I49">
        <v>483</v>
      </c>
      <c r="J49">
        <v>277</v>
      </c>
      <c r="K49">
        <v>213</v>
      </c>
      <c r="L49">
        <v>209</v>
      </c>
      <c r="N49" s="9">
        <v>11615</v>
      </c>
      <c r="O49" s="9">
        <v>2908</v>
      </c>
      <c r="P49" s="8">
        <v>0.49</v>
      </c>
    </row>
    <row r="50" spans="1:16">
      <c r="A50" s="8">
        <v>0.75</v>
      </c>
      <c r="B50">
        <v>1273</v>
      </c>
      <c r="C50" t="s">
        <v>36</v>
      </c>
      <c r="D50">
        <v>1641</v>
      </c>
      <c r="E50">
        <v>1034</v>
      </c>
      <c r="F50">
        <v>1411</v>
      </c>
      <c r="G50">
        <v>1356</v>
      </c>
      <c r="H50">
        <v>1248</v>
      </c>
      <c r="I50">
        <v>589</v>
      </c>
      <c r="J50">
        <v>323</v>
      </c>
      <c r="K50">
        <v>245</v>
      </c>
      <c r="L50">
        <v>236</v>
      </c>
      <c r="N50" s="9">
        <v>12280</v>
      </c>
      <c r="O50" s="9">
        <v>3515</v>
      </c>
      <c r="P50" s="8">
        <v>0.52</v>
      </c>
    </row>
    <row r="51" spans="1:16">
      <c r="A51" s="8">
        <v>0.5</v>
      </c>
      <c r="B51">
        <v>1273</v>
      </c>
      <c r="C51" t="s">
        <v>36</v>
      </c>
      <c r="D51">
        <v>1641</v>
      </c>
      <c r="E51">
        <v>1034</v>
      </c>
      <c r="F51">
        <v>1411</v>
      </c>
      <c r="G51">
        <v>1656</v>
      </c>
      <c r="H51">
        <v>1523</v>
      </c>
      <c r="I51">
        <v>744</v>
      </c>
      <c r="J51">
        <v>377</v>
      </c>
      <c r="K51">
        <v>286</v>
      </c>
      <c r="L51">
        <v>263</v>
      </c>
      <c r="N51" s="9">
        <v>13133</v>
      </c>
      <c r="O51" s="9">
        <v>4300</v>
      </c>
      <c r="P51" s="8">
        <v>0.55000000000000004</v>
      </c>
    </row>
    <row r="52" spans="1:16">
      <c r="A52" s="8">
        <v>0.25</v>
      </c>
      <c r="B52">
        <v>1273</v>
      </c>
      <c r="C52" t="s">
        <v>36</v>
      </c>
      <c r="D52">
        <v>1641</v>
      </c>
      <c r="E52">
        <v>1034</v>
      </c>
      <c r="F52">
        <v>1411</v>
      </c>
      <c r="G52">
        <v>2346</v>
      </c>
      <c r="H52">
        <v>2220</v>
      </c>
      <c r="I52">
        <v>1219</v>
      </c>
      <c r="J52">
        <v>587</v>
      </c>
      <c r="K52">
        <v>390</v>
      </c>
      <c r="L52">
        <v>354</v>
      </c>
      <c r="N52" s="9">
        <v>15400</v>
      </c>
      <c r="O52" s="9">
        <v>6371</v>
      </c>
      <c r="P52" s="8">
        <v>0.65</v>
      </c>
    </row>
    <row r="53" spans="1:16">
      <c r="A53" s="8">
        <v>0.1</v>
      </c>
      <c r="B53">
        <v>1273</v>
      </c>
      <c r="C53" t="s">
        <v>36</v>
      </c>
      <c r="D53">
        <v>1641</v>
      </c>
      <c r="E53">
        <v>1034</v>
      </c>
      <c r="F53">
        <v>1411</v>
      </c>
      <c r="G53">
        <v>2878</v>
      </c>
      <c r="H53">
        <v>2845</v>
      </c>
      <c r="I53">
        <v>1704</v>
      </c>
      <c r="J53">
        <v>773</v>
      </c>
      <c r="K53">
        <v>498</v>
      </c>
      <c r="L53">
        <v>447</v>
      </c>
      <c r="N53" s="9">
        <v>17430</v>
      </c>
      <c r="O53" s="9">
        <v>8200</v>
      </c>
      <c r="P53" s="8">
        <v>0.74</v>
      </c>
    </row>
    <row r="54" spans="1:16">
      <c r="K54" t="s">
        <v>22</v>
      </c>
      <c r="M54">
        <v>23688</v>
      </c>
      <c r="N54">
        <v>10019</v>
      </c>
    </row>
    <row r="55" spans="1:16">
      <c r="A55" t="s">
        <v>29</v>
      </c>
      <c r="B55" t="s">
        <v>7</v>
      </c>
      <c r="C55" t="s">
        <v>37</v>
      </c>
    </row>
    <row r="56" spans="1:16">
      <c r="A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Murdoch</cp:lastModifiedBy>
  <dcterms:created xsi:type="dcterms:W3CDTF">2021-12-17T02:28:11Z</dcterms:created>
  <dcterms:modified xsi:type="dcterms:W3CDTF">2024-11-06T23:17:34Z</dcterms:modified>
</cp:coreProperties>
</file>