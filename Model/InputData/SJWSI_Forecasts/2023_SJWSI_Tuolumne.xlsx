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dsaybean/Library/Mobile Documents/com~apple~CloudDocs/Documents/UC Davis/GSR/Functional_Flows/Models/Tuolumne_Model_TLG/InputData/SJWSI_Forecasts/"/>
    </mc:Choice>
  </mc:AlternateContent>
  <xr:revisionPtr revIDLastSave="0" documentId="13_ncr:1_{01131810-AF1C-B54B-B91D-E6BA67A26E5A}" xr6:coauthVersionLast="47" xr6:coauthVersionMax="47" xr10:uidLastSave="{00000000-0000-0000-0000-000000000000}"/>
  <bookViews>
    <workbookView xWindow="0" yWindow="500" windowWidth="28800" windowHeight="16580" activeTab="2" xr2:uid="{E3464FCA-350C-0642-85C6-D26DFC4161D1}"/>
  </bookViews>
  <sheets>
    <sheet name="Dec1" sheetId="1" r:id="rId1"/>
    <sheet name="Jan1" sheetId="2" r:id="rId2"/>
    <sheet name="Feb1" sheetId="3" r:id="rId3"/>
    <sheet name="Mar1" sheetId="4" r:id="rId4"/>
    <sheet name="Apr1" sheetId="5" r:id="rId5"/>
    <sheet name="May1" sheetId="6" r:id="rId6"/>
    <sheet name="Sheet4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6" l="1"/>
  <c r="O4" i="1"/>
  <c r="O5" i="1"/>
  <c r="O6" i="1"/>
  <c r="O7" i="1"/>
  <c r="O8" i="1"/>
  <c r="O3" i="1"/>
  <c r="O4" i="5"/>
  <c r="O5" i="5"/>
  <c r="O6" i="5"/>
  <c r="O7" i="5"/>
  <c r="O8" i="5"/>
  <c r="O3" i="5"/>
  <c r="O4" i="4"/>
  <c r="O5" i="4"/>
  <c r="O6" i="4"/>
  <c r="O7" i="4"/>
  <c r="O8" i="4"/>
  <c r="O3" i="4"/>
  <c r="O4" i="3"/>
  <c r="O5" i="3"/>
  <c r="O6" i="3"/>
  <c r="O7" i="3"/>
  <c r="O8" i="3"/>
  <c r="O3" i="3"/>
  <c r="O4" i="2"/>
  <c r="O5" i="2"/>
  <c r="O6" i="2"/>
  <c r="O7" i="2"/>
  <c r="O8" i="2"/>
  <c r="O3" i="2"/>
  <c r="O8" i="6"/>
  <c r="N8" i="6"/>
  <c r="O7" i="6"/>
  <c r="N7" i="6"/>
  <c r="O6" i="6"/>
  <c r="N6" i="6"/>
  <c r="N5" i="6"/>
  <c r="O4" i="6"/>
  <c r="N4" i="6"/>
  <c r="O3" i="6"/>
  <c r="N3" i="6"/>
  <c r="N8" i="5"/>
  <c r="N7" i="5"/>
  <c r="N6" i="5"/>
  <c r="N5" i="5"/>
  <c r="N4" i="5"/>
  <c r="N3" i="5"/>
  <c r="N8" i="4"/>
  <c r="N7" i="4"/>
  <c r="N6" i="4"/>
  <c r="N5" i="4"/>
  <c r="N4" i="4"/>
  <c r="N3" i="4"/>
  <c r="N8" i="3"/>
  <c r="N7" i="3"/>
  <c r="N6" i="3"/>
  <c r="N5" i="3"/>
  <c r="N4" i="3"/>
  <c r="N3" i="3"/>
  <c r="N8" i="2"/>
  <c r="N7" i="2"/>
  <c r="N6" i="2"/>
  <c r="N5" i="2"/>
  <c r="N4" i="2"/>
  <c r="N3" i="2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<sst xmlns="http://schemas.openxmlformats.org/spreadsheetml/2006/main" count="102" uniqueCount="18">
  <si>
    <t xml:space="preserve">Tuolumne River below La Grange Reservoir Unimpaired Flow [taf] </t>
  </si>
  <si>
    <t>WY %Avg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</si>
  <si>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</si>
  <si>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</si>
  <si>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</si>
  <si>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</si>
  <si>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</si>
  <si>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</si>
  <si>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</si>
  <si>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</si>
  <si>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</si>
  <si>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</si>
  <si>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</si>
  <si>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</si>
  <si>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WY</t>
  </si>
  <si>
    <t>Apr-Jun</t>
  </si>
  <si>
    <t xml:space="preserve">1966-2015 avg </t>
  </si>
  <si>
    <t xml:space="preserve">1991-2020 avg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</si>
</sst>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rgb="FF000000"/>
      <name val="ArialMT"/>
    </font>
    <font>
      <sz val="9"/>
      <color rgb="FF000000"/>
      <name val="ArialMT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9" fontId="0" fillId="0" borderId="0" xfId="0" applyNumberFormat="1"/>
    <xf numFmtId="3" fontId="0" fillId="0" borderId="0" xfId="0" applyNumberFormat="1"/>
    <xf numFmtId="1" fontId="0" fillId="0" borderId="0" xfId="0" applyNumberForma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5A25-0933-2246-82A4-E3359A6AE3B8}">
  <dimension ref="A1:O9"/>
  <sheetViews>
    <sheetView topLeftCell="A2" zoomScale="112" workbookViewId="0">
      <selection activeCell="K15" sqref="K15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24</v>
      </c>
      <c r="D3" s="3">
        <v>18</v>
      </c>
      <c r="E3" s="3">
        <v>18</v>
      </c>
      <c r="F3" s="3">
        <v>43</v>
      </c>
      <c r="G3" s="3">
        <v>55</v>
      </c>
      <c r="H3" s="3">
        <v>91</v>
      </c>
      <c r="I3" s="3">
        <v>117</v>
      </c>
      <c r="J3" s="3">
        <v>49</v>
      </c>
      <c r="K3" s="3">
        <v>13</v>
      </c>
      <c r="L3" s="3">
        <v>5</v>
      </c>
      <c r="M3" s="3">
        <v>3</v>
      </c>
      <c r="N3" s="3">
        <f t="shared" ref="N3:N8" si="0">SUM(B3:M3)</f>
        <v>441</v>
      </c>
      <c r="O3" s="3">
        <f>SUM(H3:J3)</f>
        <v>257</v>
      </c>
    </row>
    <row r="4" spans="1:15">
      <c r="A4" s="2">
        <v>0.9</v>
      </c>
      <c r="B4" s="3">
        <v>5</v>
      </c>
      <c r="C4" s="3">
        <v>24</v>
      </c>
      <c r="D4" s="3">
        <v>29</v>
      </c>
      <c r="E4" s="3">
        <v>33</v>
      </c>
      <c r="F4" s="3">
        <v>65</v>
      </c>
      <c r="G4" s="3">
        <v>97</v>
      </c>
      <c r="H4" s="3">
        <v>145</v>
      </c>
      <c r="I4" s="3">
        <v>191</v>
      </c>
      <c r="J4" s="3">
        <v>84</v>
      </c>
      <c r="K4" s="3">
        <v>20</v>
      </c>
      <c r="L4" s="3">
        <v>9</v>
      </c>
      <c r="M4" s="3">
        <v>4</v>
      </c>
      <c r="N4" s="3">
        <f t="shared" si="0"/>
        <v>706</v>
      </c>
      <c r="O4" s="3">
        <f t="shared" ref="O4:O8" si="1">SUM(H4:J4)</f>
        <v>420</v>
      </c>
    </row>
    <row r="5" spans="1:15">
      <c r="A5" s="2">
        <v>0.75</v>
      </c>
      <c r="B5" s="3">
        <v>5</v>
      </c>
      <c r="C5" s="3">
        <v>24</v>
      </c>
      <c r="D5" s="3">
        <v>42</v>
      </c>
      <c r="E5" s="3">
        <v>59</v>
      </c>
      <c r="F5" s="3">
        <v>80</v>
      </c>
      <c r="G5" s="3">
        <v>128</v>
      </c>
      <c r="H5" s="3">
        <v>170</v>
      </c>
      <c r="I5" s="3">
        <v>255</v>
      </c>
      <c r="J5" s="3">
        <v>129</v>
      </c>
      <c r="K5" s="3">
        <v>26</v>
      </c>
      <c r="L5" s="3">
        <v>12</v>
      </c>
      <c r="M5" s="3">
        <v>6</v>
      </c>
      <c r="N5" s="3">
        <f t="shared" si="0"/>
        <v>936</v>
      </c>
      <c r="O5" s="3">
        <f t="shared" si="1"/>
        <v>554</v>
      </c>
    </row>
    <row r="6" spans="1:15">
      <c r="A6" s="2">
        <v>0.5</v>
      </c>
      <c r="B6" s="3">
        <v>5</v>
      </c>
      <c r="C6" s="3">
        <v>24</v>
      </c>
      <c r="D6" s="3">
        <v>56</v>
      </c>
      <c r="E6" s="3">
        <v>104</v>
      </c>
      <c r="F6" s="3">
        <v>116</v>
      </c>
      <c r="G6" s="3">
        <v>180</v>
      </c>
      <c r="H6" s="3">
        <v>230</v>
      </c>
      <c r="I6" s="3">
        <v>353</v>
      </c>
      <c r="J6" s="3">
        <v>229</v>
      </c>
      <c r="K6" s="3">
        <v>73</v>
      </c>
      <c r="L6" s="3">
        <v>15</v>
      </c>
      <c r="M6" s="3">
        <v>9</v>
      </c>
      <c r="N6" s="3">
        <f t="shared" si="0"/>
        <v>1394</v>
      </c>
      <c r="O6" s="3">
        <f t="shared" si="1"/>
        <v>812</v>
      </c>
    </row>
    <row r="7" spans="1:15">
      <c r="A7" s="2">
        <v>0.25</v>
      </c>
      <c r="B7" s="3">
        <v>5</v>
      </c>
      <c r="C7" s="3">
        <v>24</v>
      </c>
      <c r="D7" s="3">
        <v>95</v>
      </c>
      <c r="E7" s="3">
        <v>186</v>
      </c>
      <c r="F7" s="3">
        <v>185</v>
      </c>
      <c r="G7" s="3">
        <v>255</v>
      </c>
      <c r="H7" s="3">
        <v>311</v>
      </c>
      <c r="I7" s="3">
        <v>511</v>
      </c>
      <c r="J7" s="3">
        <v>403</v>
      </c>
      <c r="K7" s="3">
        <v>144</v>
      </c>
      <c r="L7" s="3">
        <v>39</v>
      </c>
      <c r="M7" s="3">
        <v>16</v>
      </c>
      <c r="N7" s="3">
        <f t="shared" si="0"/>
        <v>2174</v>
      </c>
      <c r="O7" s="3">
        <f t="shared" si="1"/>
        <v>1225</v>
      </c>
    </row>
    <row r="8" spans="1:15">
      <c r="A8" s="2">
        <v>0.1</v>
      </c>
      <c r="B8" s="3">
        <v>5</v>
      </c>
      <c r="C8" s="3">
        <v>24</v>
      </c>
      <c r="D8" s="3">
        <v>157</v>
      </c>
      <c r="E8" s="3">
        <v>279</v>
      </c>
      <c r="F8" s="3">
        <v>273</v>
      </c>
      <c r="G8" s="3">
        <v>337</v>
      </c>
      <c r="H8" s="3">
        <v>413</v>
      </c>
      <c r="I8" s="3">
        <v>671</v>
      </c>
      <c r="J8" s="3">
        <v>563</v>
      </c>
      <c r="K8" s="3">
        <v>258</v>
      </c>
      <c r="L8" s="3">
        <v>77</v>
      </c>
      <c r="M8" s="3">
        <v>29</v>
      </c>
      <c r="N8" s="3">
        <f t="shared" si="0"/>
        <v>3086</v>
      </c>
      <c r="O8" s="3">
        <f t="shared" si="1"/>
        <v>1647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17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836D6-9490-F042-A5DA-B62F1766AAAB}">
  <dimension ref="A1:O9"/>
  <sheetViews>
    <sheetView workbookViewId="0">
      <selection activeCell="M9" sqref="M9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3">
        <v>5</v>
      </c>
      <c r="C3" s="3">
        <v>24</v>
      </c>
      <c r="D3" s="3">
        <v>211</v>
      </c>
      <c r="E3" s="3">
        <v>77</v>
      </c>
      <c r="F3" s="3">
        <v>91</v>
      </c>
      <c r="G3" s="3">
        <v>143</v>
      </c>
      <c r="H3" s="3">
        <v>183</v>
      </c>
      <c r="I3" s="3">
        <v>281</v>
      </c>
      <c r="J3" s="3">
        <v>169</v>
      </c>
      <c r="K3" s="3">
        <v>47</v>
      </c>
      <c r="L3" s="3">
        <v>12</v>
      </c>
      <c r="M3" s="3">
        <v>7</v>
      </c>
      <c r="N3" s="3">
        <f t="shared" ref="N3:N8" si="0">SUM(B3:M3)</f>
        <v>1250</v>
      </c>
      <c r="O3" s="3">
        <f>SUM(H3:J3)</f>
        <v>633</v>
      </c>
    </row>
    <row r="4" spans="1:15">
      <c r="A4" s="2">
        <v>0.9</v>
      </c>
      <c r="B4" s="3">
        <v>5</v>
      </c>
      <c r="C4" s="3">
        <v>24</v>
      </c>
      <c r="D4" s="3">
        <v>211</v>
      </c>
      <c r="E4" s="3">
        <v>113</v>
      </c>
      <c r="F4" s="3">
        <v>118</v>
      </c>
      <c r="G4" s="3">
        <v>181</v>
      </c>
      <c r="H4" s="3">
        <v>225</v>
      </c>
      <c r="I4" s="3">
        <v>342</v>
      </c>
      <c r="J4" s="3">
        <v>248</v>
      </c>
      <c r="K4" s="3">
        <v>90</v>
      </c>
      <c r="L4" s="3">
        <v>15</v>
      </c>
      <c r="M4" s="3">
        <v>9</v>
      </c>
      <c r="N4" s="3">
        <f t="shared" si="0"/>
        <v>1581</v>
      </c>
      <c r="O4" s="3">
        <f t="shared" ref="O4:O8" si="1">SUM(H4:J4)</f>
        <v>815</v>
      </c>
    </row>
    <row r="5" spans="1:15">
      <c r="A5" s="2">
        <v>0.75</v>
      </c>
      <c r="B5" s="3">
        <v>5</v>
      </c>
      <c r="C5" s="3">
        <v>24</v>
      </c>
      <c r="D5" s="3">
        <v>211</v>
      </c>
      <c r="E5" s="3">
        <v>136</v>
      </c>
      <c r="F5" s="3">
        <v>138</v>
      </c>
      <c r="G5" s="3">
        <v>204</v>
      </c>
      <c r="H5" s="3">
        <v>251</v>
      </c>
      <c r="I5" s="3">
        <v>398</v>
      </c>
      <c r="J5" s="3">
        <v>299</v>
      </c>
      <c r="K5" s="3">
        <v>111</v>
      </c>
      <c r="L5" s="3">
        <v>21</v>
      </c>
      <c r="M5" s="3">
        <v>11</v>
      </c>
      <c r="N5" s="3">
        <f t="shared" si="0"/>
        <v>1809</v>
      </c>
      <c r="O5" s="3">
        <f t="shared" si="1"/>
        <v>948</v>
      </c>
    </row>
    <row r="6" spans="1:15">
      <c r="A6" s="2">
        <v>0.5</v>
      </c>
      <c r="B6" s="3">
        <v>5</v>
      </c>
      <c r="C6" s="3">
        <v>24</v>
      </c>
      <c r="D6" s="3">
        <v>211</v>
      </c>
      <c r="E6" s="3">
        <v>180</v>
      </c>
      <c r="F6" s="3">
        <v>179</v>
      </c>
      <c r="G6" s="3">
        <v>245</v>
      </c>
      <c r="H6" s="3">
        <v>299</v>
      </c>
      <c r="I6" s="3">
        <v>496</v>
      </c>
      <c r="J6" s="3">
        <v>391</v>
      </c>
      <c r="K6" s="3">
        <v>139</v>
      </c>
      <c r="L6" s="3">
        <v>40</v>
      </c>
      <c r="M6" s="3">
        <v>16</v>
      </c>
      <c r="N6" s="3">
        <f t="shared" si="0"/>
        <v>2225</v>
      </c>
      <c r="O6" s="3">
        <f t="shared" si="1"/>
        <v>1186</v>
      </c>
    </row>
    <row r="7" spans="1:15">
      <c r="A7" s="2">
        <v>0.25</v>
      </c>
      <c r="B7" s="3">
        <v>5</v>
      </c>
      <c r="C7" s="3">
        <v>24</v>
      </c>
      <c r="D7" s="3">
        <v>211</v>
      </c>
      <c r="E7" s="3">
        <v>255</v>
      </c>
      <c r="F7" s="3">
        <v>249</v>
      </c>
      <c r="G7" s="3">
        <v>311</v>
      </c>
      <c r="H7" s="3">
        <v>375</v>
      </c>
      <c r="I7" s="3">
        <v>630</v>
      </c>
      <c r="J7" s="3">
        <v>523</v>
      </c>
      <c r="K7" s="3">
        <v>212</v>
      </c>
      <c r="L7" s="3">
        <v>65</v>
      </c>
      <c r="M7" s="3">
        <v>25</v>
      </c>
      <c r="N7" s="3">
        <f t="shared" si="0"/>
        <v>2885</v>
      </c>
      <c r="O7" s="3">
        <f t="shared" si="1"/>
        <v>1528</v>
      </c>
    </row>
    <row r="8" spans="1:15">
      <c r="A8" s="2">
        <v>0.1</v>
      </c>
      <c r="B8" s="3">
        <v>5</v>
      </c>
      <c r="C8" s="3">
        <v>24</v>
      </c>
      <c r="D8" s="3">
        <v>211</v>
      </c>
      <c r="E8" s="3">
        <v>335</v>
      </c>
      <c r="F8" s="3">
        <v>326</v>
      </c>
      <c r="G8" s="3">
        <v>391</v>
      </c>
      <c r="H8" s="3">
        <v>493</v>
      </c>
      <c r="I8" s="3">
        <v>725</v>
      </c>
      <c r="J8" s="3">
        <v>626</v>
      </c>
      <c r="K8" s="3">
        <v>386</v>
      </c>
      <c r="L8" s="3">
        <v>89</v>
      </c>
      <c r="M8" s="3">
        <v>38</v>
      </c>
      <c r="N8" s="3">
        <f t="shared" si="0"/>
        <v>3649</v>
      </c>
      <c r="O8" s="3">
        <f t="shared" si="1"/>
        <v>1844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M9" s="6" t="s">
        <v>16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11EE-B2D6-4343-B5BC-50526D02F88B}">
  <dimension ref="A1:O9"/>
  <sheetViews>
    <sheetView tabSelected="1" workbookViewId="0">
      <selection activeCell="M8" sqref="M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>
        <v>5</v>
      </c>
      <c r="C3">
        <v>24</v>
      </c>
      <c r="D3">
        <v>211</v>
      </c>
      <c r="E3">
        <v>528</v>
      </c>
      <c r="F3">
        <v>115</v>
      </c>
      <c r="G3">
        <v>185</v>
      </c>
      <c r="H3">
        <v>281</v>
      </c>
      <c r="I3">
        <v>474</v>
      </c>
      <c r="J3">
        <v>382</v>
      </c>
      <c r="K3">
        <v>133</v>
      </c>
      <c r="L3">
        <v>18</v>
      </c>
      <c r="M3">
        <v>10</v>
      </c>
      <c r="N3" s="3">
        <f t="shared" ref="N3:N8" si="0">SUM(B3:M3)</f>
        <v>2366</v>
      </c>
      <c r="O3" s="3">
        <f>SUM(H3:J3)</f>
        <v>1137</v>
      </c>
    </row>
    <row r="4" spans="1:15">
      <c r="A4" s="2">
        <v>0.9</v>
      </c>
      <c r="B4">
        <v>5</v>
      </c>
      <c r="C4">
        <v>24</v>
      </c>
      <c r="D4">
        <v>211</v>
      </c>
      <c r="E4">
        <v>528</v>
      </c>
      <c r="F4">
        <v>140</v>
      </c>
      <c r="G4">
        <v>233</v>
      </c>
      <c r="H4">
        <v>335</v>
      </c>
      <c r="I4">
        <v>535</v>
      </c>
      <c r="J4">
        <v>475</v>
      </c>
      <c r="K4">
        <v>150</v>
      </c>
      <c r="L4">
        <v>30</v>
      </c>
      <c r="M4">
        <v>15</v>
      </c>
      <c r="N4" s="3">
        <f t="shared" si="0"/>
        <v>2681</v>
      </c>
      <c r="O4" s="3">
        <f t="shared" ref="O4:O8" si="1">SUM(H4:J4)</f>
        <v>1345</v>
      </c>
    </row>
    <row r="5" spans="1:15">
      <c r="A5" s="2">
        <v>0.75</v>
      </c>
      <c r="B5">
        <v>5</v>
      </c>
      <c r="C5">
        <v>24</v>
      </c>
      <c r="D5">
        <v>211</v>
      </c>
      <c r="E5">
        <v>528</v>
      </c>
      <c r="F5">
        <v>163</v>
      </c>
      <c r="G5">
        <v>284</v>
      </c>
      <c r="H5">
        <v>360</v>
      </c>
      <c r="I5">
        <v>577</v>
      </c>
      <c r="J5">
        <v>558</v>
      </c>
      <c r="K5">
        <v>190</v>
      </c>
      <c r="L5">
        <v>43</v>
      </c>
      <c r="M5">
        <v>18</v>
      </c>
      <c r="N5" s="3">
        <f t="shared" si="0"/>
        <v>2961</v>
      </c>
      <c r="O5" s="3">
        <f t="shared" si="1"/>
        <v>1495</v>
      </c>
    </row>
    <row r="6" spans="1:15">
      <c r="A6" s="2">
        <v>0.5</v>
      </c>
      <c r="B6">
        <v>5</v>
      </c>
      <c r="C6">
        <v>24</v>
      </c>
      <c r="D6">
        <v>211</v>
      </c>
      <c r="E6">
        <v>528</v>
      </c>
      <c r="F6">
        <v>190</v>
      </c>
      <c r="G6">
        <v>328</v>
      </c>
      <c r="H6">
        <v>390</v>
      </c>
      <c r="I6">
        <v>635</v>
      </c>
      <c r="J6">
        <v>630</v>
      </c>
      <c r="K6">
        <v>245</v>
      </c>
      <c r="L6">
        <v>54</v>
      </c>
      <c r="M6">
        <v>21</v>
      </c>
      <c r="N6" s="3">
        <f t="shared" si="0"/>
        <v>3261</v>
      </c>
      <c r="O6" s="3">
        <f t="shared" si="1"/>
        <v>1655</v>
      </c>
    </row>
    <row r="7" spans="1:15">
      <c r="A7" s="2">
        <v>0.25</v>
      </c>
      <c r="B7">
        <v>5</v>
      </c>
      <c r="C7">
        <v>24</v>
      </c>
      <c r="D7">
        <v>211</v>
      </c>
      <c r="E7">
        <v>528</v>
      </c>
      <c r="F7">
        <v>270</v>
      </c>
      <c r="G7">
        <v>372</v>
      </c>
      <c r="H7">
        <v>510</v>
      </c>
      <c r="I7">
        <v>750</v>
      </c>
      <c r="J7">
        <v>760</v>
      </c>
      <c r="K7">
        <v>375</v>
      </c>
      <c r="L7">
        <v>72</v>
      </c>
      <c r="M7">
        <v>29</v>
      </c>
      <c r="N7" s="3">
        <f t="shared" si="0"/>
        <v>3906</v>
      </c>
      <c r="O7" s="3">
        <f t="shared" si="1"/>
        <v>2020</v>
      </c>
    </row>
    <row r="8" spans="1:15">
      <c r="A8" s="2">
        <v>0.1</v>
      </c>
      <c r="B8">
        <v>5</v>
      </c>
      <c r="C8">
        <v>24</v>
      </c>
      <c r="D8">
        <v>211</v>
      </c>
      <c r="E8">
        <v>528</v>
      </c>
      <c r="F8">
        <v>346</v>
      </c>
      <c r="G8">
        <v>415</v>
      </c>
      <c r="H8">
        <v>610</v>
      </c>
      <c r="I8">
        <v>840</v>
      </c>
      <c r="J8">
        <v>870</v>
      </c>
      <c r="K8">
        <v>500</v>
      </c>
      <c r="L8">
        <v>87</v>
      </c>
      <c r="M8">
        <v>35</v>
      </c>
      <c r="N8" s="3">
        <f t="shared" si="0"/>
        <v>4471</v>
      </c>
      <c r="O8" s="3">
        <f t="shared" si="1"/>
        <v>2320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8773-71F6-6A41-97EF-81C258C8C35D}">
  <dimension ref="A1:O9"/>
  <sheetViews>
    <sheetView workbookViewId="0">
      <selection activeCell="P13" sqref="P13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 s="10">
        <v>5</v>
      </c>
      <c r="C3" s="10">
        <v>24</v>
      </c>
      <c r="D3" s="10">
        <v>211</v>
      </c>
      <c r="E3" s="10">
        <v>528</v>
      </c>
      <c r="F3" s="10">
        <v>119</v>
      </c>
      <c r="G3" s="10">
        <v>210</v>
      </c>
      <c r="H3" s="10">
        <v>360</v>
      </c>
      <c r="I3" s="10">
        <v>590</v>
      </c>
      <c r="J3" s="10">
        <v>550</v>
      </c>
      <c r="K3" s="10">
        <v>190</v>
      </c>
      <c r="L3" s="10">
        <v>40</v>
      </c>
      <c r="M3" s="10">
        <v>13</v>
      </c>
      <c r="N3" s="3">
        <f t="shared" ref="N3:N8" si="0">SUM(B3:M3)</f>
        <v>2840</v>
      </c>
      <c r="O3" s="3">
        <f>SUM(H3:J3)</f>
        <v>1500</v>
      </c>
    </row>
    <row r="4" spans="1:15">
      <c r="A4" s="2">
        <v>0.9</v>
      </c>
      <c r="B4" s="10">
        <v>5</v>
      </c>
      <c r="C4" s="10">
        <v>24</v>
      </c>
      <c r="D4" s="10">
        <v>211</v>
      </c>
      <c r="E4" s="10">
        <v>528</v>
      </c>
      <c r="F4" s="10">
        <v>119</v>
      </c>
      <c r="G4" s="10">
        <v>225</v>
      </c>
      <c r="H4" s="10">
        <v>395</v>
      </c>
      <c r="I4" s="10">
        <v>640</v>
      </c>
      <c r="J4" s="10">
        <v>605</v>
      </c>
      <c r="K4" s="10">
        <v>250</v>
      </c>
      <c r="L4" s="10">
        <v>50</v>
      </c>
      <c r="M4" s="10">
        <v>18</v>
      </c>
      <c r="N4" s="3">
        <f t="shared" si="0"/>
        <v>3070</v>
      </c>
      <c r="O4" s="3">
        <f t="shared" ref="O4:O8" si="1">SUM(H4:J4)</f>
        <v>1640</v>
      </c>
    </row>
    <row r="5" spans="1:15">
      <c r="A5" s="2">
        <v>0.75</v>
      </c>
      <c r="B5" s="10">
        <v>5</v>
      </c>
      <c r="C5" s="10">
        <v>24</v>
      </c>
      <c r="D5" s="10">
        <v>211</v>
      </c>
      <c r="E5" s="10">
        <v>528</v>
      </c>
      <c r="F5" s="10">
        <v>119</v>
      </c>
      <c r="G5" s="10">
        <v>240</v>
      </c>
      <c r="H5" s="10">
        <v>430</v>
      </c>
      <c r="I5" s="10">
        <v>690</v>
      </c>
      <c r="J5" s="10">
        <v>665</v>
      </c>
      <c r="K5" s="10">
        <v>330</v>
      </c>
      <c r="L5" s="10">
        <v>64</v>
      </c>
      <c r="M5" s="10">
        <v>24</v>
      </c>
      <c r="N5" s="3">
        <f t="shared" si="0"/>
        <v>3330</v>
      </c>
      <c r="O5" s="3">
        <f t="shared" si="1"/>
        <v>1785</v>
      </c>
    </row>
    <row r="6" spans="1:15">
      <c r="A6" s="2">
        <v>0.5</v>
      </c>
      <c r="B6" s="10">
        <v>5</v>
      </c>
      <c r="C6" s="10">
        <v>24</v>
      </c>
      <c r="D6" s="10">
        <v>211</v>
      </c>
      <c r="E6" s="10">
        <v>528</v>
      </c>
      <c r="F6" s="10">
        <v>119</v>
      </c>
      <c r="G6" s="10">
        <v>260</v>
      </c>
      <c r="H6" s="10">
        <v>465</v>
      </c>
      <c r="I6" s="10">
        <v>740</v>
      </c>
      <c r="J6" s="10">
        <v>730</v>
      </c>
      <c r="K6" s="10">
        <v>415</v>
      </c>
      <c r="L6" s="10">
        <v>78</v>
      </c>
      <c r="M6" s="10">
        <v>30</v>
      </c>
      <c r="N6" s="3">
        <f t="shared" si="0"/>
        <v>3605</v>
      </c>
      <c r="O6" s="3">
        <f t="shared" si="1"/>
        <v>1935</v>
      </c>
    </row>
    <row r="7" spans="1:15">
      <c r="A7" s="2">
        <v>0.25</v>
      </c>
      <c r="B7" s="10">
        <v>5</v>
      </c>
      <c r="C7" s="10">
        <v>24</v>
      </c>
      <c r="D7" s="10">
        <v>211</v>
      </c>
      <c r="E7" s="10">
        <v>528</v>
      </c>
      <c r="F7" s="10">
        <v>119</v>
      </c>
      <c r="G7" s="10">
        <v>305</v>
      </c>
      <c r="H7" s="10">
        <v>565</v>
      </c>
      <c r="I7" s="10">
        <v>860</v>
      </c>
      <c r="J7" s="10">
        <v>845</v>
      </c>
      <c r="K7" s="10">
        <v>460</v>
      </c>
      <c r="L7" s="10">
        <v>83</v>
      </c>
      <c r="M7" s="10">
        <v>35</v>
      </c>
      <c r="N7" s="3">
        <f t="shared" si="0"/>
        <v>4040</v>
      </c>
      <c r="O7" s="3">
        <f t="shared" si="1"/>
        <v>2270</v>
      </c>
    </row>
    <row r="8" spans="1:15">
      <c r="A8" s="2">
        <v>0.1</v>
      </c>
      <c r="B8" s="10">
        <v>5</v>
      </c>
      <c r="C8" s="10">
        <v>24</v>
      </c>
      <c r="D8" s="10">
        <v>211</v>
      </c>
      <c r="E8" s="10">
        <v>528</v>
      </c>
      <c r="F8" s="10">
        <v>119</v>
      </c>
      <c r="G8" s="10">
        <v>355</v>
      </c>
      <c r="H8" s="10">
        <v>650</v>
      </c>
      <c r="I8" s="10">
        <v>970</v>
      </c>
      <c r="J8" s="10">
        <v>950</v>
      </c>
      <c r="K8" s="10">
        <v>500</v>
      </c>
      <c r="L8" s="10">
        <v>90</v>
      </c>
      <c r="M8" s="10">
        <v>38</v>
      </c>
      <c r="N8" s="3">
        <f t="shared" si="0"/>
        <v>4440</v>
      </c>
      <c r="O8" s="3">
        <f t="shared" si="1"/>
        <v>2570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4DE8-ADD5-2B43-9345-248AC7AA202A}">
  <dimension ref="A1:O9"/>
  <sheetViews>
    <sheetView workbookViewId="0">
      <selection activeCell="K11" sqref="K11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>
        <v>5</v>
      </c>
      <c r="C3">
        <v>24</v>
      </c>
      <c r="D3">
        <v>211</v>
      </c>
      <c r="E3">
        <v>528</v>
      </c>
      <c r="F3">
        <v>119</v>
      </c>
      <c r="G3">
        <v>602</v>
      </c>
      <c r="H3">
        <v>565</v>
      </c>
      <c r="I3">
        <v>770</v>
      </c>
      <c r="J3">
        <v>670</v>
      </c>
      <c r="K3">
        <v>405</v>
      </c>
      <c r="L3">
        <v>66</v>
      </c>
      <c r="M3">
        <v>30</v>
      </c>
      <c r="N3" s="3">
        <f t="shared" ref="N3:N8" si="0">SUM(B3:M3)</f>
        <v>3995</v>
      </c>
      <c r="O3" s="3">
        <f>SUM(H3:J3)</f>
        <v>2005</v>
      </c>
    </row>
    <row r="4" spans="1:15">
      <c r="A4" s="2">
        <v>0.9</v>
      </c>
      <c r="B4">
        <v>5</v>
      </c>
      <c r="C4">
        <v>24</v>
      </c>
      <c r="D4">
        <v>211</v>
      </c>
      <c r="E4">
        <v>528</v>
      </c>
      <c r="F4">
        <v>119</v>
      </c>
      <c r="G4">
        <v>602</v>
      </c>
      <c r="H4">
        <v>585</v>
      </c>
      <c r="I4">
        <v>800</v>
      </c>
      <c r="J4">
        <v>715</v>
      </c>
      <c r="K4">
        <v>450</v>
      </c>
      <c r="L4">
        <v>74</v>
      </c>
      <c r="M4">
        <v>32</v>
      </c>
      <c r="N4" s="3">
        <f t="shared" si="0"/>
        <v>4145</v>
      </c>
      <c r="O4" s="3">
        <f t="shared" ref="O4:O8" si="1">SUM(H4:J4)</f>
        <v>2100</v>
      </c>
    </row>
    <row r="5" spans="1:15">
      <c r="A5" s="2">
        <v>0.75</v>
      </c>
      <c r="B5">
        <v>5</v>
      </c>
      <c r="C5">
        <v>24</v>
      </c>
      <c r="D5">
        <v>211</v>
      </c>
      <c r="E5">
        <v>528</v>
      </c>
      <c r="F5">
        <v>119</v>
      </c>
      <c r="G5">
        <v>602</v>
      </c>
      <c r="H5">
        <v>607</v>
      </c>
      <c r="I5">
        <v>819</v>
      </c>
      <c r="J5">
        <v>780</v>
      </c>
      <c r="K5">
        <v>464</v>
      </c>
      <c r="L5">
        <v>77</v>
      </c>
      <c r="M5">
        <v>34</v>
      </c>
      <c r="N5" s="3">
        <f t="shared" si="0"/>
        <v>4270</v>
      </c>
      <c r="O5" s="3">
        <f t="shared" si="1"/>
        <v>2206</v>
      </c>
    </row>
    <row r="6" spans="1:15">
      <c r="A6" s="2">
        <v>0.5</v>
      </c>
      <c r="B6">
        <v>5</v>
      </c>
      <c r="C6">
        <v>24</v>
      </c>
      <c r="D6">
        <v>211</v>
      </c>
      <c r="E6">
        <v>528</v>
      </c>
      <c r="F6">
        <v>119</v>
      </c>
      <c r="G6">
        <v>602</v>
      </c>
      <c r="H6">
        <v>630</v>
      </c>
      <c r="I6">
        <v>840</v>
      </c>
      <c r="J6">
        <v>850</v>
      </c>
      <c r="K6">
        <v>480</v>
      </c>
      <c r="L6">
        <v>85</v>
      </c>
      <c r="M6">
        <v>36</v>
      </c>
      <c r="N6" s="3">
        <f t="shared" si="0"/>
        <v>4410</v>
      </c>
      <c r="O6" s="3">
        <f t="shared" si="1"/>
        <v>2320</v>
      </c>
    </row>
    <row r="7" spans="1:15">
      <c r="A7" s="2">
        <v>0.25</v>
      </c>
      <c r="B7">
        <v>5</v>
      </c>
      <c r="C7">
        <v>24</v>
      </c>
      <c r="D7">
        <v>211</v>
      </c>
      <c r="E7">
        <v>528</v>
      </c>
      <c r="F7">
        <v>119</v>
      </c>
      <c r="G7">
        <v>602</v>
      </c>
      <c r="H7">
        <v>660</v>
      </c>
      <c r="I7">
        <v>905</v>
      </c>
      <c r="J7">
        <v>925</v>
      </c>
      <c r="K7">
        <v>515</v>
      </c>
      <c r="L7">
        <v>89</v>
      </c>
      <c r="M7">
        <v>42</v>
      </c>
      <c r="N7" s="3">
        <f t="shared" si="0"/>
        <v>4625</v>
      </c>
      <c r="O7" s="3">
        <f t="shared" si="1"/>
        <v>2490</v>
      </c>
    </row>
    <row r="8" spans="1:15">
      <c r="A8" s="2">
        <v>0.1</v>
      </c>
      <c r="B8">
        <v>5</v>
      </c>
      <c r="C8">
        <v>24</v>
      </c>
      <c r="D8">
        <v>211</v>
      </c>
      <c r="E8">
        <v>528</v>
      </c>
      <c r="F8">
        <v>119</v>
      </c>
      <c r="G8">
        <v>602</v>
      </c>
      <c r="H8">
        <v>690</v>
      </c>
      <c r="I8">
        <v>970</v>
      </c>
      <c r="J8">
        <v>1000</v>
      </c>
      <c r="K8">
        <v>550</v>
      </c>
      <c r="L8">
        <v>93</v>
      </c>
      <c r="M8">
        <v>48</v>
      </c>
      <c r="N8" s="3">
        <f t="shared" si="0"/>
        <v>4840</v>
      </c>
      <c r="O8" s="3">
        <f t="shared" si="1"/>
        <v>2660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4DF0-4037-C748-AE63-562CA30C8E16}">
  <dimension ref="A1:O14"/>
  <sheetViews>
    <sheetView workbookViewId="0">
      <selection activeCell="K8" sqref="K8"/>
    </sheetView>
  </sheetViews>
  <sheetFormatPr baseColWidth="10" defaultRowHeight="16"/>
  <sheetData>
    <row r="1" spans="1:15">
      <c r="A1" s="1" t="s">
        <v>0</v>
      </c>
      <c r="B1" s="1"/>
      <c r="C1" s="1"/>
      <c r="D1" s="1"/>
      <c r="E1" s="1"/>
      <c r="F1" s="1"/>
      <c r="G1" s="2" t="s">
        <v>1</v>
      </c>
      <c r="H1" s="3"/>
      <c r="I1" s="3"/>
      <c r="J1" s="3"/>
      <c r="K1" s="3"/>
      <c r="L1" s="3"/>
      <c r="M1" s="3"/>
      <c r="N1" s="3"/>
      <c r="O1" s="3"/>
    </row>
    <row r="2" spans="1:15">
      <c r="A2" s="3"/>
      <c r="B2" s="4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5">
        <v>0.99</v>
      </c>
      <c r="B3">
        <v>5</v>
      </c>
      <c r="C3">
        <v>24</v>
      </c>
      <c r="D3">
        <v>211</v>
      </c>
      <c r="E3">
        <v>528</v>
      </c>
      <c r="F3">
        <v>119</v>
      </c>
      <c r="G3">
        <v>602</v>
      </c>
      <c r="H3">
        <v>454</v>
      </c>
      <c r="I3">
        <v>775</v>
      </c>
      <c r="J3">
        <v>821</v>
      </c>
      <c r="K3">
        <v>480</v>
      </c>
      <c r="L3">
        <v>72</v>
      </c>
      <c r="M3">
        <v>29</v>
      </c>
      <c r="N3" s="3">
        <f t="shared" ref="N3:N8" si="0">SUM(B3:M3)</f>
        <v>4120</v>
      </c>
      <c r="O3" s="3">
        <f t="shared" ref="O3:O8" si="1">SUM(G3:J3)</f>
        <v>2652</v>
      </c>
    </row>
    <row r="4" spans="1:15">
      <c r="A4" s="2">
        <v>0.9</v>
      </c>
      <c r="B4">
        <v>5</v>
      </c>
      <c r="C4">
        <v>24</v>
      </c>
      <c r="D4">
        <v>211</v>
      </c>
      <c r="E4">
        <v>528</v>
      </c>
      <c r="F4">
        <v>119</v>
      </c>
      <c r="G4">
        <v>602</v>
      </c>
      <c r="H4">
        <v>454</v>
      </c>
      <c r="I4">
        <v>800</v>
      </c>
      <c r="J4">
        <v>850</v>
      </c>
      <c r="K4">
        <v>506</v>
      </c>
      <c r="L4">
        <v>78</v>
      </c>
      <c r="M4">
        <v>33</v>
      </c>
      <c r="N4" s="3">
        <f t="shared" si="0"/>
        <v>4210</v>
      </c>
      <c r="O4" s="3">
        <f t="shared" si="1"/>
        <v>2706</v>
      </c>
    </row>
    <row r="5" spans="1:15">
      <c r="A5" s="2">
        <v>0.75</v>
      </c>
      <c r="B5">
        <v>5</v>
      </c>
      <c r="C5">
        <v>24</v>
      </c>
      <c r="D5">
        <v>211</v>
      </c>
      <c r="E5">
        <v>528</v>
      </c>
      <c r="F5">
        <v>119</v>
      </c>
      <c r="G5">
        <v>602</v>
      </c>
      <c r="H5">
        <v>454</v>
      </c>
      <c r="I5">
        <v>825</v>
      </c>
      <c r="J5">
        <v>881</v>
      </c>
      <c r="K5">
        <v>525</v>
      </c>
      <c r="L5">
        <v>84</v>
      </c>
      <c r="M5">
        <v>37</v>
      </c>
      <c r="N5" s="3">
        <f t="shared" si="0"/>
        <v>4295</v>
      </c>
      <c r="O5" s="3">
        <f t="shared" si="1"/>
        <v>2762</v>
      </c>
    </row>
    <row r="6" spans="1:15">
      <c r="A6" s="2">
        <v>0.5</v>
      </c>
      <c r="B6">
        <v>5</v>
      </c>
      <c r="C6">
        <v>24</v>
      </c>
      <c r="D6">
        <v>211</v>
      </c>
      <c r="E6">
        <v>528</v>
      </c>
      <c r="F6">
        <v>119</v>
      </c>
      <c r="G6">
        <v>602</v>
      </c>
      <c r="H6">
        <v>454</v>
      </c>
      <c r="I6">
        <v>850</v>
      </c>
      <c r="J6">
        <v>906</v>
      </c>
      <c r="K6">
        <v>540</v>
      </c>
      <c r="L6">
        <v>90</v>
      </c>
      <c r="M6">
        <v>41</v>
      </c>
      <c r="N6" s="3">
        <f t="shared" si="0"/>
        <v>4370</v>
      </c>
      <c r="O6" s="3">
        <f t="shared" si="1"/>
        <v>2812</v>
      </c>
    </row>
    <row r="7" spans="1:15">
      <c r="A7" s="2">
        <v>0.25</v>
      </c>
      <c r="B7">
        <v>5</v>
      </c>
      <c r="C7">
        <v>24</v>
      </c>
      <c r="D7">
        <v>211</v>
      </c>
      <c r="E7">
        <v>528</v>
      </c>
      <c r="F7">
        <v>119</v>
      </c>
      <c r="G7">
        <v>602</v>
      </c>
      <c r="H7">
        <v>454</v>
      </c>
      <c r="I7">
        <v>895</v>
      </c>
      <c r="J7">
        <v>946</v>
      </c>
      <c r="K7">
        <v>565</v>
      </c>
      <c r="L7">
        <v>92</v>
      </c>
      <c r="M7">
        <v>44</v>
      </c>
      <c r="N7" s="3">
        <f t="shared" si="0"/>
        <v>4485</v>
      </c>
      <c r="O7" s="3">
        <f t="shared" si="1"/>
        <v>2897</v>
      </c>
    </row>
    <row r="8" spans="1:15">
      <c r="A8" s="2">
        <v>0.1</v>
      </c>
      <c r="B8">
        <v>5</v>
      </c>
      <c r="C8">
        <v>24</v>
      </c>
      <c r="D8">
        <v>211</v>
      </c>
      <c r="E8">
        <v>528</v>
      </c>
      <c r="F8">
        <v>119</v>
      </c>
      <c r="G8">
        <v>602</v>
      </c>
      <c r="H8">
        <v>454</v>
      </c>
      <c r="I8">
        <v>943</v>
      </c>
      <c r="J8">
        <v>988</v>
      </c>
      <c r="K8">
        <v>585</v>
      </c>
      <c r="L8">
        <v>96</v>
      </c>
      <c r="M8">
        <v>50</v>
      </c>
      <c r="N8" s="3">
        <f t="shared" si="0"/>
        <v>4605</v>
      </c>
      <c r="O8" s="3">
        <f t="shared" si="1"/>
        <v>2987</v>
      </c>
    </row>
    <row r="9" spans="1:1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6" t="s">
        <v>16</v>
      </c>
      <c r="N9" s="7">
        <v>1954</v>
      </c>
      <c r="O9" s="3">
        <v>1222</v>
      </c>
    </row>
    <row r="14" spans="1:15">
      <c r="I14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5A19-552E-D34A-BB64-11D4CE3D0E78}">
  <dimension ref="A3:S53"/>
  <sheetViews>
    <sheetView topLeftCell="J1" workbookViewId="0">
      <selection activeCell="S56" sqref="A1:S56"/>
    </sheetView>
  </sheetViews>
  <sheetFormatPr baseColWidth="10" defaultRowHeight="16"/>
  <cols>
    <col min="1" max="1" width="123" bestFit="1" customWidth="1"/>
    <col min="2" max="2" width="75.83203125" bestFit="1" customWidth="1"/>
    <col min="3" max="3" width="11.5" bestFit="1" customWidth="1"/>
    <col min="4" max="5" width="5.6640625" bestFit="1" customWidth="1"/>
    <col min="6" max="8" width="5.1640625" bestFit="1" customWidth="1"/>
    <col min="9" max="9" width="13.1640625" bestFit="1" customWidth="1"/>
    <col min="10" max="10" width="4.1640625" bestFit="1" customWidth="1"/>
    <col min="11" max="12" width="13.1640625" bestFit="1" customWidth="1"/>
    <col min="13" max="13" width="6.33203125" bestFit="1" customWidth="1"/>
    <col min="14" max="14" width="11.5" bestFit="1" customWidth="1"/>
    <col min="15" max="17" width="5.6640625" bestFit="1" customWidth="1"/>
    <col min="18" max="18" width="6.33203125" bestFit="1" customWidth="1"/>
    <col min="19" max="19" width="11.5" bestFit="1" customWidth="1"/>
  </cols>
  <sheetData>
    <row r="3" spans="1:19">
      <c r="A3" s="8"/>
      <c r="S3" s="8"/>
    </row>
    <row r="4" spans="1:19">
      <c r="A4" s="8"/>
      <c r="S4" s="8"/>
    </row>
    <row r="5" spans="1:19">
      <c r="A5" s="8"/>
      <c r="S5" s="8"/>
    </row>
    <row r="6" spans="1:19">
      <c r="A6" s="8"/>
      <c r="S6" s="8"/>
    </row>
    <row r="7" spans="1:19">
      <c r="A7" s="8"/>
      <c r="S7" s="8"/>
    </row>
    <row r="8" spans="1:19">
      <c r="A8" s="8"/>
      <c r="S8" s="8"/>
    </row>
    <row r="9" spans="1:19">
      <c r="N9" s="9"/>
    </row>
    <row r="12" spans="1:19">
      <c r="A12" s="8"/>
      <c r="S12" s="8"/>
    </row>
    <row r="13" spans="1:19">
      <c r="A13" s="8"/>
      <c r="S13" s="8"/>
    </row>
    <row r="14" spans="1:19">
      <c r="A14" s="8"/>
      <c r="S14" s="8"/>
    </row>
    <row r="15" spans="1:19">
      <c r="A15" s="8"/>
      <c r="Q15" s="9"/>
      <c r="S15" s="8"/>
    </row>
    <row r="16" spans="1:19">
      <c r="A16" s="8"/>
      <c r="P16" s="9"/>
      <c r="R16" s="8"/>
    </row>
    <row r="17" spans="1:19">
      <c r="A17" s="8"/>
      <c r="P17" s="9"/>
      <c r="R17" s="8"/>
    </row>
    <row r="18" spans="1:19">
      <c r="D18" s="9"/>
      <c r="E18" s="9"/>
    </row>
    <row r="21" spans="1:19">
      <c r="A21" s="8"/>
      <c r="S21" s="8"/>
    </row>
    <row r="22" spans="1:19">
      <c r="A22" s="8"/>
      <c r="S22" s="8"/>
    </row>
    <row r="23" spans="1:19">
      <c r="A23" s="8"/>
      <c r="S23" s="8"/>
    </row>
    <row r="24" spans="1:19">
      <c r="A24" s="8"/>
      <c r="S24" s="8"/>
    </row>
    <row r="25" spans="1:19">
      <c r="A25" s="8"/>
      <c r="S25" s="8"/>
    </row>
    <row r="26" spans="1:19">
      <c r="A26" s="8"/>
      <c r="S26" s="8"/>
    </row>
    <row r="30" spans="1:19">
      <c r="A30" s="8"/>
      <c r="S30" s="8"/>
    </row>
    <row r="31" spans="1:19">
      <c r="A31" s="8"/>
      <c r="R31" s="8"/>
    </row>
    <row r="32" spans="1:19">
      <c r="A32" s="8"/>
      <c r="P32" s="9"/>
      <c r="R32" s="8"/>
    </row>
    <row r="33" spans="1:19">
      <c r="A33" s="8"/>
      <c r="P33" s="9"/>
      <c r="R33" s="8"/>
    </row>
    <row r="34" spans="1:19">
      <c r="A34" s="8"/>
      <c r="O34" s="9"/>
      <c r="Q34" s="8"/>
    </row>
    <row r="35" spans="1:19">
      <c r="A35" s="8"/>
      <c r="Q35" s="8"/>
    </row>
    <row r="36" spans="1:19">
      <c r="D36" s="9"/>
      <c r="E36" s="9"/>
    </row>
    <row r="39" spans="1:19">
      <c r="A39" s="8"/>
      <c r="Q39" s="9"/>
      <c r="S39" s="8"/>
    </row>
    <row r="40" spans="1:19">
      <c r="A40" s="8"/>
      <c r="P40" s="9"/>
      <c r="Q40" s="9"/>
      <c r="R40" s="8"/>
    </row>
    <row r="41" spans="1:19">
      <c r="A41" s="8"/>
      <c r="P41" s="9"/>
      <c r="Q41" s="9"/>
      <c r="R41" s="8"/>
    </row>
    <row r="42" spans="1:19">
      <c r="A42" s="8"/>
      <c r="O42" s="9"/>
      <c r="P42" s="9"/>
      <c r="Q42" s="8"/>
    </row>
    <row r="43" spans="1:19">
      <c r="A43" s="8"/>
      <c r="O43" s="9"/>
      <c r="P43" s="9"/>
      <c r="Q43" s="8"/>
    </row>
    <row r="44" spans="1:19">
      <c r="A44" s="8"/>
      <c r="O44" s="9"/>
      <c r="P44" s="9"/>
      <c r="Q44" s="8"/>
    </row>
    <row r="48" spans="1:19">
      <c r="A48" s="8"/>
      <c r="N48" s="9"/>
      <c r="O48" s="9"/>
      <c r="P48" s="8"/>
    </row>
    <row r="49" spans="1:16">
      <c r="A49" s="8"/>
      <c r="N49" s="9"/>
      <c r="O49" s="9"/>
      <c r="P49" s="8"/>
    </row>
    <row r="50" spans="1:16">
      <c r="A50" s="8"/>
      <c r="N50" s="9"/>
      <c r="O50" s="9"/>
      <c r="P50" s="8"/>
    </row>
    <row r="51" spans="1:16">
      <c r="A51" s="8"/>
      <c r="N51" s="9"/>
      <c r="O51" s="9"/>
      <c r="P51" s="8"/>
    </row>
    <row r="52" spans="1:16">
      <c r="A52" s="8"/>
      <c r="N52" s="9"/>
      <c r="O52" s="9"/>
      <c r="P52" s="8"/>
    </row>
    <row r="53" spans="1:16">
      <c r="A53" s="8"/>
      <c r="N53" s="9"/>
      <c r="O53" s="9"/>
      <c r="P5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Dec1</vt:lpstr>
      <vt:lpstr>Jan1</vt:lpstr>
      <vt:lpstr>Feb1</vt:lpstr>
      <vt:lpstr>Mar1</vt:lpstr>
      <vt:lpstr>Apr1</vt:lpstr>
      <vt:lpstr>May1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Evelyn Murdoch</dc:creator>
  <cp:lastModifiedBy>Lindsay Murdoch</cp:lastModifiedBy>
  <dcterms:created xsi:type="dcterms:W3CDTF">2021-12-17T02:28:11Z</dcterms:created>
  <dcterms:modified xsi:type="dcterms:W3CDTF">2023-08-14T17:14:34Z</dcterms:modified>
</cp:coreProperties>
</file>